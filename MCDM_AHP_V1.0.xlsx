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ademic_Teaching\Prescriptive Analytics and Business Optimization\"/>
    </mc:Choice>
  </mc:AlternateContent>
  <xr:revisionPtr revIDLastSave="0" documentId="13_ncr:1_{2D5667C1-394B-4AEC-8B01-53B3912E0B16}" xr6:coauthVersionLast="47" xr6:coauthVersionMax="47" xr10:uidLastSave="{00000000-0000-0000-0000-000000000000}"/>
  <bookViews>
    <workbookView xWindow="-108" yWindow="-108" windowWidth="23256" windowHeight="12456" activeTab="3" xr2:uid="{030FE8A1-08F8-4FAD-85C0-99E6E755D710}"/>
  </bookViews>
  <sheets>
    <sheet name="MCDM" sheetId="1" r:id="rId1"/>
    <sheet name="MCDM (2)" sheetId="3" r:id="rId2"/>
    <sheet name="Supporting Link" sheetId="2" r:id="rId3"/>
    <sheet name="Another_Example" sheetId="4" r:id="rId4"/>
  </sheets>
  <definedNames>
    <definedName name="solver_adj" localSheetId="1" hidden="1">'MCDM (2)'!$H$48:$H$53</definedName>
    <definedName name="solver_cvg" localSheetId="1" hidden="1">0.0001</definedName>
    <definedName name="solver_drv" localSheetId="1" hidden="1">1</definedName>
    <definedName name="solver_eng" localSheetId="1" hidden="1">3</definedName>
    <definedName name="solver_est" localSheetId="1" hidden="1">1</definedName>
    <definedName name="solver_itr" localSheetId="1" hidden="1">2147483647</definedName>
    <definedName name="solver_lhs1" localSheetId="1" hidden="1">'MCDM (2)'!$H$48:$H$53</definedName>
    <definedName name="solver_lhs2" localSheetId="1" hidden="1">'MCDM (2)'!$H$54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'MCDM (2)'!$J$54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hs1" localSheetId="1" hidden="1">0</definedName>
    <definedName name="solver_rhs2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" i="4" l="1"/>
  <c r="J28" i="4"/>
  <c r="J29" i="4"/>
  <c r="J30" i="4"/>
  <c r="J31" i="4"/>
  <c r="J32" i="4"/>
  <c r="J33" i="4"/>
  <c r="J34" i="4"/>
  <c r="J27" i="4"/>
  <c r="I28" i="4"/>
  <c r="I29" i="4"/>
  <c r="I30" i="4"/>
  <c r="I31" i="4"/>
  <c r="I32" i="4"/>
  <c r="I33" i="4"/>
  <c r="I34" i="4"/>
  <c r="I27" i="4"/>
  <c r="H28" i="4"/>
  <c r="H29" i="4"/>
  <c r="H30" i="4"/>
  <c r="H31" i="4"/>
  <c r="H32" i="4"/>
  <c r="H33" i="4"/>
  <c r="H34" i="4"/>
  <c r="H27" i="4"/>
  <c r="G28" i="4"/>
  <c r="G29" i="4"/>
  <c r="G30" i="4"/>
  <c r="G31" i="4"/>
  <c r="G32" i="4"/>
  <c r="G33" i="4"/>
  <c r="G34" i="4"/>
  <c r="G27" i="4"/>
  <c r="F28" i="4"/>
  <c r="F29" i="4"/>
  <c r="F30" i="4"/>
  <c r="F31" i="4"/>
  <c r="F32" i="4"/>
  <c r="F33" i="4"/>
  <c r="F34" i="4"/>
  <c r="F27" i="4"/>
  <c r="E28" i="4"/>
  <c r="E29" i="4"/>
  <c r="E30" i="4"/>
  <c r="E31" i="4"/>
  <c r="E32" i="4"/>
  <c r="E33" i="4"/>
  <c r="E34" i="4"/>
  <c r="E27" i="4"/>
  <c r="D28" i="4"/>
  <c r="D29" i="4"/>
  <c r="D30" i="4"/>
  <c r="D31" i="4"/>
  <c r="D32" i="4"/>
  <c r="D33" i="4"/>
  <c r="D34" i="4"/>
  <c r="D27" i="4"/>
  <c r="C28" i="4"/>
  <c r="C29" i="4"/>
  <c r="C30" i="4"/>
  <c r="C31" i="4"/>
  <c r="C32" i="4"/>
  <c r="C33" i="4"/>
  <c r="C34" i="4"/>
  <c r="C27" i="4"/>
  <c r="B28" i="4"/>
  <c r="B29" i="4"/>
  <c r="B30" i="4"/>
  <c r="B31" i="4"/>
  <c r="B32" i="4"/>
  <c r="B33" i="4"/>
  <c r="B34" i="4"/>
  <c r="B27" i="4"/>
  <c r="I25" i="4"/>
  <c r="H25" i="4"/>
  <c r="G25" i="4"/>
  <c r="F25" i="4"/>
  <c r="E25" i="4"/>
  <c r="D25" i="4"/>
  <c r="C25" i="4"/>
  <c r="B25" i="4"/>
  <c r="K13" i="4"/>
  <c r="L14" i="4"/>
  <c r="L15" i="4"/>
  <c r="L16" i="4"/>
  <c r="L17" i="4"/>
  <c r="L18" i="4"/>
  <c r="L19" i="4"/>
  <c r="L20" i="4"/>
  <c r="L13" i="4"/>
  <c r="K14" i="4"/>
  <c r="K15" i="4"/>
  <c r="K16" i="4"/>
  <c r="K17" i="4"/>
  <c r="K18" i="4"/>
  <c r="K19" i="4"/>
  <c r="K20" i="4"/>
  <c r="J21" i="4"/>
  <c r="J14" i="4"/>
  <c r="J15" i="4"/>
  <c r="J16" i="4"/>
  <c r="J17" i="4"/>
  <c r="J18" i="4"/>
  <c r="J19" i="4"/>
  <c r="J20" i="4"/>
  <c r="J13" i="4"/>
  <c r="D13" i="4"/>
  <c r="E13" i="4"/>
  <c r="F13" i="4"/>
  <c r="G13" i="4"/>
  <c r="H13" i="4"/>
  <c r="I13" i="4"/>
  <c r="D14" i="4"/>
  <c r="E14" i="4"/>
  <c r="F14" i="4"/>
  <c r="G14" i="4"/>
  <c r="H14" i="4"/>
  <c r="I14" i="4"/>
  <c r="D15" i="4"/>
  <c r="E15" i="4"/>
  <c r="F15" i="4"/>
  <c r="G15" i="4"/>
  <c r="H15" i="4"/>
  <c r="I15" i="4"/>
  <c r="D16" i="4"/>
  <c r="E16" i="4"/>
  <c r="F16" i="4"/>
  <c r="G16" i="4"/>
  <c r="H16" i="4"/>
  <c r="I16" i="4"/>
  <c r="D17" i="4"/>
  <c r="E17" i="4"/>
  <c r="F17" i="4"/>
  <c r="G17" i="4"/>
  <c r="H17" i="4"/>
  <c r="I17" i="4"/>
  <c r="D18" i="4"/>
  <c r="E18" i="4"/>
  <c r="F18" i="4"/>
  <c r="G18" i="4"/>
  <c r="H18" i="4"/>
  <c r="I18" i="4"/>
  <c r="D19" i="4"/>
  <c r="E19" i="4"/>
  <c r="F19" i="4"/>
  <c r="G19" i="4"/>
  <c r="H19" i="4"/>
  <c r="I19" i="4"/>
  <c r="D20" i="4"/>
  <c r="E20" i="4"/>
  <c r="F20" i="4"/>
  <c r="G20" i="4"/>
  <c r="H20" i="4"/>
  <c r="I20" i="4"/>
  <c r="C14" i="4"/>
  <c r="C15" i="4"/>
  <c r="C16" i="4"/>
  <c r="C17" i="4"/>
  <c r="C18" i="4"/>
  <c r="C19" i="4"/>
  <c r="C20" i="4"/>
  <c r="C13" i="4"/>
  <c r="B14" i="4"/>
  <c r="B15" i="4"/>
  <c r="B16" i="4"/>
  <c r="B17" i="4"/>
  <c r="B18" i="4"/>
  <c r="B19" i="4"/>
  <c r="B20" i="4"/>
  <c r="B13" i="4"/>
  <c r="C10" i="4"/>
  <c r="D10" i="4"/>
  <c r="E10" i="4"/>
  <c r="F10" i="4"/>
  <c r="G10" i="4"/>
  <c r="H10" i="4"/>
  <c r="I10" i="4"/>
  <c r="B10" i="4"/>
  <c r="G9" i="4"/>
  <c r="C9" i="4"/>
  <c r="B9" i="4"/>
  <c r="I8" i="4"/>
  <c r="G8" i="4"/>
  <c r="F8" i="4"/>
  <c r="E8" i="4"/>
  <c r="D8" i="4"/>
  <c r="C8" i="4"/>
  <c r="B8" i="4"/>
  <c r="B7" i="4"/>
  <c r="C7" i="4"/>
  <c r="I6" i="4"/>
  <c r="G6" i="4"/>
  <c r="C6" i="4"/>
  <c r="B6" i="4"/>
  <c r="I5" i="4"/>
  <c r="G5" i="4"/>
  <c r="F5" i="4"/>
  <c r="D5" i="4"/>
  <c r="C5" i="4"/>
  <c r="B5" i="4"/>
  <c r="I4" i="4"/>
  <c r="G4" i="4"/>
  <c r="F4" i="4"/>
  <c r="C4" i="4"/>
  <c r="B4" i="4"/>
  <c r="B3" i="4"/>
  <c r="I48" i="3" a="1"/>
  <c r="I51" i="3" s="1"/>
  <c r="J51" i="3" s="1"/>
  <c r="H54" i="3"/>
  <c r="F53" i="3"/>
  <c r="E53" i="3"/>
  <c r="D53" i="3"/>
  <c r="C53" i="3"/>
  <c r="B53" i="3"/>
  <c r="D52" i="3"/>
  <c r="C52" i="3"/>
  <c r="B52" i="3"/>
  <c r="F51" i="3"/>
  <c r="E52" i="3" s="1"/>
  <c r="D51" i="3"/>
  <c r="C51" i="3"/>
  <c r="B51" i="3"/>
  <c r="C50" i="3"/>
  <c r="B50" i="3"/>
  <c r="D49" i="3"/>
  <c r="B49" i="3"/>
  <c r="J12" i="1"/>
  <c r="I12" i="1"/>
  <c r="I18" i="1" s="1"/>
  <c r="J12" i="3"/>
  <c r="H12" i="1"/>
  <c r="J35" i="3"/>
  <c r="J36" i="3"/>
  <c r="J37" i="3"/>
  <c r="J38" i="3"/>
  <c r="J39" i="3"/>
  <c r="J34" i="3"/>
  <c r="I35" i="3"/>
  <c r="I36" i="3"/>
  <c r="I37" i="3"/>
  <c r="I38" i="3"/>
  <c r="I39" i="3"/>
  <c r="I34" i="3"/>
  <c r="H40" i="3"/>
  <c r="H35" i="3"/>
  <c r="H36" i="3"/>
  <c r="H37" i="3"/>
  <c r="H38" i="3"/>
  <c r="H39" i="3"/>
  <c r="H34" i="3"/>
  <c r="B34" i="3" a="1"/>
  <c r="B34" i="3" s="1"/>
  <c r="I26" i="3"/>
  <c r="I27" i="3"/>
  <c r="I28" i="3"/>
  <c r="I29" i="3"/>
  <c r="I30" i="3"/>
  <c r="I25" i="3"/>
  <c r="H31" i="3"/>
  <c r="H25" i="3"/>
  <c r="H26" i="3"/>
  <c r="H27" i="3"/>
  <c r="H28" i="3"/>
  <c r="H29" i="3"/>
  <c r="H30" i="3"/>
  <c r="B25" i="3" a="1"/>
  <c r="B25" i="3" s="1"/>
  <c r="D3" i="3"/>
  <c r="G8" i="3"/>
  <c r="G17" i="3" s="1"/>
  <c r="F7" i="3"/>
  <c r="E7" i="3"/>
  <c r="D7" i="3"/>
  <c r="C7" i="3"/>
  <c r="B7" i="3"/>
  <c r="D6" i="3"/>
  <c r="C6" i="3"/>
  <c r="B6" i="3"/>
  <c r="F5" i="3"/>
  <c r="E6" i="3" s="1"/>
  <c r="D5" i="3"/>
  <c r="C5" i="3"/>
  <c r="B5" i="3"/>
  <c r="B4" i="3"/>
  <c r="B3" i="3"/>
  <c r="C4" i="1"/>
  <c r="B12" i="1"/>
  <c r="F12" i="1"/>
  <c r="G12" i="1"/>
  <c r="G18" i="1" s="1"/>
  <c r="F13" i="1"/>
  <c r="G13" i="1"/>
  <c r="F14" i="1"/>
  <c r="G14" i="1"/>
  <c r="F15" i="1"/>
  <c r="G15" i="1"/>
  <c r="F16" i="1"/>
  <c r="F18" i="1" s="1"/>
  <c r="G16" i="1"/>
  <c r="F17" i="1"/>
  <c r="G17" i="1"/>
  <c r="B18" i="1"/>
  <c r="B13" i="1"/>
  <c r="B14" i="1"/>
  <c r="B15" i="1"/>
  <c r="B16" i="1"/>
  <c r="B17" i="1"/>
  <c r="D8" i="1"/>
  <c r="D15" i="1" s="1"/>
  <c r="E8" i="1"/>
  <c r="E17" i="1" s="1"/>
  <c r="F8" i="1"/>
  <c r="G8" i="1"/>
  <c r="B8" i="1"/>
  <c r="F7" i="1"/>
  <c r="E7" i="1"/>
  <c r="E6" i="1"/>
  <c r="D7" i="1"/>
  <c r="D5" i="1"/>
  <c r="D6" i="1"/>
  <c r="C7" i="1"/>
  <c r="C6" i="1"/>
  <c r="C5" i="1"/>
  <c r="B7" i="1"/>
  <c r="B6" i="1"/>
  <c r="B5" i="1"/>
  <c r="B4" i="1"/>
  <c r="F5" i="1"/>
  <c r="B3" i="1"/>
  <c r="I53" i="3" l="1"/>
  <c r="J53" i="3" s="1"/>
  <c r="I49" i="3"/>
  <c r="J49" i="3" s="1"/>
  <c r="I48" i="3"/>
  <c r="J48" i="3" s="1"/>
  <c r="I52" i="3"/>
  <c r="J52" i="3" s="1"/>
  <c r="I50" i="3"/>
  <c r="J50" i="3" s="1"/>
  <c r="F37" i="3"/>
  <c r="E37" i="3"/>
  <c r="F38" i="3"/>
  <c r="D37" i="3"/>
  <c r="B36" i="3"/>
  <c r="F34" i="3"/>
  <c r="E36" i="3"/>
  <c r="C36" i="3"/>
  <c r="G39" i="3"/>
  <c r="E38" i="3"/>
  <c r="C37" i="3"/>
  <c r="G35" i="3"/>
  <c r="E34" i="3"/>
  <c r="C35" i="3"/>
  <c r="B39" i="3"/>
  <c r="G34" i="3"/>
  <c r="F39" i="3"/>
  <c r="D38" i="3"/>
  <c r="B37" i="3"/>
  <c r="F35" i="3"/>
  <c r="D34" i="3"/>
  <c r="G37" i="3"/>
  <c r="D36" i="3"/>
  <c r="G38" i="3"/>
  <c r="E39" i="3"/>
  <c r="C38" i="3"/>
  <c r="G36" i="3"/>
  <c r="E35" i="3"/>
  <c r="C34" i="3"/>
  <c r="C39" i="3"/>
  <c r="B35" i="3"/>
  <c r="D39" i="3"/>
  <c r="B38" i="3"/>
  <c r="F36" i="3"/>
  <c r="D35" i="3"/>
  <c r="E27" i="3"/>
  <c r="B26" i="3"/>
  <c r="F29" i="3"/>
  <c r="D28" i="3"/>
  <c r="B27" i="3"/>
  <c r="F25" i="3"/>
  <c r="C26" i="3"/>
  <c r="D27" i="3"/>
  <c r="G29" i="3"/>
  <c r="G30" i="3"/>
  <c r="E29" i="3"/>
  <c r="C28" i="3"/>
  <c r="G26" i="3"/>
  <c r="E25" i="3"/>
  <c r="G28" i="3"/>
  <c r="F28" i="3"/>
  <c r="E28" i="3"/>
  <c r="F30" i="3"/>
  <c r="D29" i="3"/>
  <c r="B28" i="3"/>
  <c r="F26" i="3"/>
  <c r="D25" i="3"/>
  <c r="C27" i="3"/>
  <c r="E30" i="3"/>
  <c r="C29" i="3"/>
  <c r="G27" i="3"/>
  <c r="E26" i="3"/>
  <c r="C25" i="3"/>
  <c r="C30" i="3"/>
  <c r="B30" i="3"/>
  <c r="G25" i="3"/>
  <c r="D30" i="3"/>
  <c r="B29" i="3"/>
  <c r="F27" i="3"/>
  <c r="D26" i="3"/>
  <c r="C4" i="3"/>
  <c r="E8" i="3"/>
  <c r="E17" i="3" s="1"/>
  <c r="C8" i="3"/>
  <c r="D8" i="3"/>
  <c r="B8" i="3"/>
  <c r="G12" i="3"/>
  <c r="G18" i="3" s="1"/>
  <c r="G13" i="3"/>
  <c r="G14" i="3"/>
  <c r="G15" i="3"/>
  <c r="G16" i="3"/>
  <c r="F8" i="3"/>
  <c r="E14" i="1"/>
  <c r="E13" i="1"/>
  <c r="E16" i="1"/>
  <c r="E15" i="1"/>
  <c r="E12" i="1"/>
  <c r="C8" i="1"/>
  <c r="C12" i="1" s="1"/>
  <c r="D13" i="1"/>
  <c r="D16" i="1"/>
  <c r="D14" i="1"/>
  <c r="D17" i="1"/>
  <c r="D12" i="1"/>
  <c r="J54" i="3" l="1"/>
  <c r="E15" i="3"/>
  <c r="E14" i="3"/>
  <c r="E13" i="3"/>
  <c r="E12" i="3"/>
  <c r="E18" i="3" s="1"/>
  <c r="B12" i="3"/>
  <c r="B17" i="3"/>
  <c r="H17" i="3" s="1"/>
  <c r="B15" i="3"/>
  <c r="H15" i="3" s="1"/>
  <c r="B14" i="3"/>
  <c r="E16" i="3"/>
  <c r="D14" i="3"/>
  <c r="D13" i="3"/>
  <c r="D12" i="3"/>
  <c r="B13" i="3"/>
  <c r="B16" i="3"/>
  <c r="D15" i="3"/>
  <c r="C13" i="3"/>
  <c r="C14" i="3"/>
  <c r="C12" i="3"/>
  <c r="C17" i="3"/>
  <c r="C15" i="3"/>
  <c r="F15" i="3"/>
  <c r="F14" i="3"/>
  <c r="F13" i="3"/>
  <c r="F16" i="3"/>
  <c r="F12" i="3"/>
  <c r="C16" i="3"/>
  <c r="D16" i="3"/>
  <c r="F17" i="3"/>
  <c r="D17" i="3"/>
  <c r="C14" i="1"/>
  <c r="C17" i="1"/>
  <c r="C13" i="1"/>
  <c r="H13" i="1" s="1"/>
  <c r="C16" i="1"/>
  <c r="H16" i="1" s="1"/>
  <c r="C15" i="1"/>
  <c r="H15" i="1" s="1"/>
  <c r="E18" i="1"/>
  <c r="D18" i="1"/>
  <c r="H17" i="1"/>
  <c r="H14" i="1"/>
  <c r="H14" i="3" l="1"/>
  <c r="H13" i="3"/>
  <c r="H12" i="3"/>
  <c r="B18" i="3"/>
  <c r="C18" i="3"/>
  <c r="H16" i="3"/>
  <c r="D18" i="3"/>
  <c r="F18" i="3"/>
  <c r="C18" i="1"/>
  <c r="H18" i="1"/>
  <c r="I17" i="1"/>
  <c r="I13" i="1"/>
  <c r="I14" i="1"/>
  <c r="I15" i="1"/>
  <c r="I16" i="1"/>
  <c r="I17" i="3" l="1"/>
  <c r="H18" i="3"/>
  <c r="I14" i="3"/>
  <c r="I12" i="3"/>
  <c r="I13" i="3"/>
  <c r="I15" i="3"/>
  <c r="I16" i="3"/>
  <c r="L12" i="1"/>
  <c r="I18" i="3" l="1"/>
  <c r="L12" i="3" s="1"/>
</calcChain>
</file>

<file path=xl/sharedStrings.xml><?xml version="1.0" encoding="utf-8"?>
<sst xmlns="http://schemas.openxmlformats.org/spreadsheetml/2006/main" count="137" uniqueCount="41">
  <si>
    <t>Rainfall</t>
  </si>
  <si>
    <t>Texture</t>
  </si>
  <si>
    <t>AWC</t>
  </si>
  <si>
    <t>OC</t>
  </si>
  <si>
    <t>Depth</t>
  </si>
  <si>
    <t>Slope</t>
  </si>
  <si>
    <t>Sum</t>
  </si>
  <si>
    <t>Average</t>
  </si>
  <si>
    <t>Lamda(Biasness check,consistency)</t>
  </si>
  <si>
    <t>CI</t>
  </si>
  <si>
    <t>RCI</t>
  </si>
  <si>
    <t>https://www.youtube.com/watch?v=jr5kuij8u1c</t>
  </si>
  <si>
    <t>https://www.youtube.com/watch?v=P4OCiNiNaGM</t>
  </si>
  <si>
    <t>CR</t>
  </si>
  <si>
    <t>Accepted till &lt; 0.1</t>
  </si>
  <si>
    <t>Change D3 =1/3</t>
  </si>
  <si>
    <t>Issue with Texture and AWC C2 and D2</t>
  </si>
  <si>
    <t>SUM</t>
  </si>
  <si>
    <t>Normalize Vector</t>
  </si>
  <si>
    <t>Difference</t>
  </si>
  <si>
    <t>Try to do 0 till 4 dicimal place</t>
  </si>
  <si>
    <t>Improving weights derivation for Analytical Hierarchy Process (AHP)</t>
  </si>
  <si>
    <t>Wt</t>
  </si>
  <si>
    <t>AW</t>
  </si>
  <si>
    <t>AW/W</t>
  </si>
  <si>
    <t>Principal I.V. is to mimimize this variance</t>
  </si>
  <si>
    <t>Analytic Hierarchy Process (AHP) step-by-Step Guide #education</t>
  </si>
  <si>
    <t>Geology</t>
  </si>
  <si>
    <t>Soil</t>
  </si>
  <si>
    <t>LULe</t>
  </si>
  <si>
    <t>LD</t>
  </si>
  <si>
    <t>DD</t>
  </si>
  <si>
    <t>Geomorphology</t>
  </si>
  <si>
    <t>Normalization</t>
  </si>
  <si>
    <t>Criteria Weight</t>
  </si>
  <si>
    <t>Criteria Weight Weight %</t>
  </si>
  <si>
    <t>Calculating Consistency</t>
  </si>
  <si>
    <t>C.W</t>
  </si>
  <si>
    <t>LULC</t>
  </si>
  <si>
    <t>Weighted Sum Value</t>
  </si>
  <si>
    <t>WSV/CW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</si>
</sst>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53340</xdr:colOff>
      <xdr:row>0</xdr:row>
      <xdr:rowOff>144780</xdr:rowOff>
    </xdr:from>
    <xdr:to>
      <xdr:col>22</xdr:col>
      <xdr:colOff>450090</xdr:colOff>
      <xdr:row>19</xdr:row>
      <xdr:rowOff>114598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98E52-D7A2-7E7A-7C55-5E0AC0556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8140" y="144780"/>
          <a:ext cx="5883150" cy="3444538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</xdr:colOff>
      <xdr:row>19</xdr:row>
      <xdr:rowOff>144780</xdr:rowOff>
    </xdr:from>
    <xdr:to>
      <xdr:col>21</xdr:col>
      <xdr:colOff>313227</xdr:colOff>
      <xdr:row>28</xdr:row>
      <xdr:rowOff>130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22B444-E6B8-56F9-6CE7-72F4B3FE6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02380" y="3619500"/>
          <a:ext cx="9312447" cy="1501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533400</xdr:colOff>
      <xdr:row>1</xdr:row>
      <xdr:rowOff>68580</xdr:rowOff>
    </xdr:from>
    <xdr:to>
      <xdr:col>19</xdr:col>
      <xdr:colOff>99392</xdr:colOff>
      <xdr:row>10</xdr:row>
      <xdr:rowOff>99205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B50D5D-9DC4-714B-2214-6D2EFA32E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0" y="251460"/>
          <a:ext cx="3833192" cy="1676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P4OCiNiNaGM" TargetMode="External"/><Relationship Id="rId1" Type="http://schemas.openxmlformats.org/officeDocument/2006/relationships/hyperlink" Target="https://www.youtube.com/watch?v=l0WVf60ay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83CB-F079-4F40-883A-7B8478EBD022}">
  <dimension ref="A1:L22"/>
  <sheetViews>
    <sheetView topLeftCell="A2" workbookViewId="0">
      <selection activeCell="J16" sqref="J16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2" x14ac:dyDescent="0.3">
      <c r="A2" t="s">
        <v>0</v>
      </c>
      <c r="B2" s="1">
        <v>1</v>
      </c>
      <c r="C2">
        <v>5</v>
      </c>
      <c r="D2">
        <v>3</v>
      </c>
      <c r="E2">
        <v>7</v>
      </c>
      <c r="F2">
        <v>5</v>
      </c>
      <c r="G2">
        <v>7</v>
      </c>
    </row>
    <row r="3" spans="1:12" x14ac:dyDescent="0.3">
      <c r="A3" t="s">
        <v>1</v>
      </c>
      <c r="B3">
        <f>1/C2</f>
        <v>0.2</v>
      </c>
      <c r="C3" s="1">
        <v>1</v>
      </c>
      <c r="D3" s="4">
        <v>3</v>
      </c>
      <c r="E3" s="4">
        <v>5</v>
      </c>
      <c r="F3">
        <v>2</v>
      </c>
      <c r="G3">
        <v>5</v>
      </c>
    </row>
    <row r="4" spans="1:12" x14ac:dyDescent="0.3">
      <c r="A4" t="s">
        <v>2</v>
      </c>
      <c r="B4">
        <f>1/D2</f>
        <v>0.33333333333333331</v>
      </c>
      <c r="C4">
        <f>1/D3</f>
        <v>0.33333333333333331</v>
      </c>
      <c r="D4" s="1">
        <v>1</v>
      </c>
      <c r="E4">
        <v>3</v>
      </c>
      <c r="F4">
        <v>2</v>
      </c>
      <c r="G4">
        <v>5</v>
      </c>
    </row>
    <row r="5" spans="1:12" x14ac:dyDescent="0.3">
      <c r="A5" t="s">
        <v>3</v>
      </c>
      <c r="B5">
        <f>1/E2</f>
        <v>0.14285714285714285</v>
      </c>
      <c r="C5">
        <f>1/E3</f>
        <v>0.2</v>
      </c>
      <c r="D5">
        <f>1/E4</f>
        <v>0.33333333333333331</v>
      </c>
      <c r="E5" s="1">
        <v>1</v>
      </c>
      <c r="F5">
        <f>1/3</f>
        <v>0.33333333333333331</v>
      </c>
      <c r="G5">
        <v>3</v>
      </c>
    </row>
    <row r="6" spans="1:12" x14ac:dyDescent="0.3">
      <c r="A6" t="s">
        <v>4</v>
      </c>
      <c r="B6">
        <f>1/F2</f>
        <v>0.2</v>
      </c>
      <c r="C6">
        <f>1/F3</f>
        <v>0.5</v>
      </c>
      <c r="D6">
        <f>1/F4</f>
        <v>0.5</v>
      </c>
      <c r="E6">
        <f>1/F5</f>
        <v>3</v>
      </c>
      <c r="F6" s="1">
        <v>1</v>
      </c>
      <c r="G6">
        <v>3</v>
      </c>
    </row>
    <row r="7" spans="1:12" x14ac:dyDescent="0.3">
      <c r="A7" t="s">
        <v>5</v>
      </c>
      <c r="B7">
        <f>1/G2</f>
        <v>0.14285714285714285</v>
      </c>
      <c r="C7">
        <f>1/G3</f>
        <v>0.2</v>
      </c>
      <c r="D7">
        <f>1/G4</f>
        <v>0.2</v>
      </c>
      <c r="E7">
        <f>1/G5</f>
        <v>0.33333333333333331</v>
      </c>
      <c r="F7">
        <f>1/G6</f>
        <v>0.33333333333333331</v>
      </c>
      <c r="G7" s="1">
        <v>1</v>
      </c>
    </row>
    <row r="8" spans="1:12" x14ac:dyDescent="0.3">
      <c r="A8" s="2" t="s">
        <v>6</v>
      </c>
      <c r="B8" s="2">
        <f>SUM(B2:B7)</f>
        <v>2.019047619047619</v>
      </c>
      <c r="C8" s="2">
        <f t="shared" ref="C8:G8" si="0">SUM(C2:C7)</f>
        <v>7.2333333333333334</v>
      </c>
      <c r="D8" s="2">
        <f t="shared" si="0"/>
        <v>8.0333333333333332</v>
      </c>
      <c r="E8" s="2">
        <f t="shared" si="0"/>
        <v>19.333333333333332</v>
      </c>
      <c r="F8" s="2">
        <f t="shared" si="0"/>
        <v>10.666666666666668</v>
      </c>
      <c r="G8" s="2">
        <f t="shared" si="0"/>
        <v>24</v>
      </c>
    </row>
    <row r="11" spans="1:12" x14ac:dyDescent="0.3"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7</v>
      </c>
      <c r="I11" t="s">
        <v>8</v>
      </c>
      <c r="J11" t="s">
        <v>9</v>
      </c>
      <c r="K11" t="s">
        <v>10</v>
      </c>
      <c r="L11" t="s">
        <v>13</v>
      </c>
    </row>
    <row r="12" spans="1:12" x14ac:dyDescent="0.3">
      <c r="A12" t="s">
        <v>0</v>
      </c>
      <c r="B12">
        <f>B2/B$8</f>
        <v>0.49528301886792453</v>
      </c>
      <c r="C12">
        <f t="shared" ref="C12:G12" si="1">C2/C$8</f>
        <v>0.69124423963133641</v>
      </c>
      <c r="D12">
        <f t="shared" si="1"/>
        <v>0.37344398340248963</v>
      </c>
      <c r="E12">
        <f t="shared" si="1"/>
        <v>0.36206896551724138</v>
      </c>
      <c r="F12">
        <f t="shared" si="1"/>
        <v>0.46874999999999994</v>
      </c>
      <c r="G12">
        <f t="shared" si="1"/>
        <v>0.29166666666666669</v>
      </c>
      <c r="H12">
        <f>AVERAGE(B12:G12)</f>
        <v>0.44707614568094306</v>
      </c>
      <c r="I12">
        <f>MMULT(B2:G2,H$12:H$17)/H12</f>
        <v>6.9412136138650373</v>
      </c>
      <c r="J12">
        <f>(I18-6)/5</f>
        <v>0.18824272277300746</v>
      </c>
      <c r="K12">
        <v>1.24</v>
      </c>
      <c r="L12">
        <f>J12/K12</f>
        <v>0.15180864739758668</v>
      </c>
    </row>
    <row r="13" spans="1:12" x14ac:dyDescent="0.3">
      <c r="A13" t="s">
        <v>1</v>
      </c>
      <c r="B13">
        <f t="shared" ref="B13:B17" si="2">B3/B$8</f>
        <v>9.9056603773584911E-2</v>
      </c>
      <c r="C13">
        <f t="shared" ref="C13:G13" si="3">C3/C$8</f>
        <v>0.13824884792626729</v>
      </c>
      <c r="D13">
        <f t="shared" si="3"/>
        <v>0.37344398340248963</v>
      </c>
      <c r="E13">
        <f t="shared" si="3"/>
        <v>0.25862068965517243</v>
      </c>
      <c r="F13">
        <f t="shared" si="3"/>
        <v>0.18749999999999997</v>
      </c>
      <c r="G13">
        <f t="shared" si="3"/>
        <v>0.20833333333333334</v>
      </c>
      <c r="H13">
        <f t="shared" ref="H13:H17" si="4">AVERAGE(B13:G13)</f>
        <v>0.21086724301514126</v>
      </c>
      <c r="I13">
        <f t="shared" ref="I13:I17" si="5">MMULT(B3:G3,H$12:H$17)/H13</f>
        <v>6.7001335427971291</v>
      </c>
      <c r="L13" t="s">
        <v>14</v>
      </c>
    </row>
    <row r="14" spans="1:12" x14ac:dyDescent="0.3">
      <c r="A14" t="s">
        <v>2</v>
      </c>
      <c r="B14">
        <f t="shared" si="2"/>
        <v>0.1650943396226415</v>
      </c>
      <c r="C14">
        <f t="shared" ref="C14:G14" si="6">C4/C$8</f>
        <v>4.6082949308755755E-2</v>
      </c>
      <c r="D14">
        <f t="shared" si="6"/>
        <v>0.12448132780082988</v>
      </c>
      <c r="E14">
        <f t="shared" si="6"/>
        <v>0.15517241379310345</v>
      </c>
      <c r="F14">
        <f t="shared" si="6"/>
        <v>0.18749999999999997</v>
      </c>
      <c r="G14">
        <f t="shared" si="6"/>
        <v>0.20833333333333334</v>
      </c>
      <c r="H14">
        <f t="shared" si="4"/>
        <v>0.14777739397644399</v>
      </c>
      <c r="I14">
        <f t="shared" si="5"/>
        <v>6.2280055103268515</v>
      </c>
    </row>
    <row r="15" spans="1:12" x14ac:dyDescent="0.3">
      <c r="A15" t="s">
        <v>3</v>
      </c>
      <c r="B15">
        <f t="shared" si="2"/>
        <v>7.0754716981132074E-2</v>
      </c>
      <c r="C15">
        <f t="shared" ref="C15:G15" si="7">C5/C$8</f>
        <v>2.7649769585253458E-2</v>
      </c>
      <c r="D15">
        <f t="shared" si="7"/>
        <v>4.1493775933609957E-2</v>
      </c>
      <c r="E15">
        <f t="shared" si="7"/>
        <v>5.1724137931034489E-2</v>
      </c>
      <c r="F15">
        <f t="shared" si="7"/>
        <v>3.1249999999999993E-2</v>
      </c>
      <c r="G15">
        <f t="shared" si="7"/>
        <v>0.125</v>
      </c>
      <c r="H15">
        <f t="shared" si="4"/>
        <v>5.7978733405171658E-2</v>
      </c>
      <c r="I15">
        <f t="shared" si="5"/>
        <v>6.0985017256239109</v>
      </c>
    </row>
    <row r="16" spans="1:12" x14ac:dyDescent="0.3">
      <c r="A16" t="s">
        <v>4</v>
      </c>
      <c r="B16">
        <f t="shared" si="2"/>
        <v>9.9056603773584911E-2</v>
      </c>
      <c r="C16">
        <f t="shared" ref="C16:G16" si="8">C6/C$8</f>
        <v>6.9124423963133647E-2</v>
      </c>
      <c r="D16">
        <f t="shared" si="8"/>
        <v>6.2240663900414939E-2</v>
      </c>
      <c r="E16">
        <f t="shared" si="8"/>
        <v>0.15517241379310345</v>
      </c>
      <c r="F16">
        <f t="shared" si="8"/>
        <v>9.3749999999999986E-2</v>
      </c>
      <c r="G16">
        <f t="shared" si="8"/>
        <v>0.125</v>
      </c>
      <c r="H16">
        <f t="shared" si="4"/>
        <v>0.10072401757170617</v>
      </c>
      <c r="I16">
        <f t="shared" si="5"/>
        <v>6.4545396435180269</v>
      </c>
    </row>
    <row r="17" spans="1:9" x14ac:dyDescent="0.3">
      <c r="A17" t="s">
        <v>5</v>
      </c>
      <c r="B17">
        <f t="shared" si="2"/>
        <v>7.0754716981132074E-2</v>
      </c>
      <c r="C17">
        <f t="shared" ref="C17:G17" si="9">C7/C$8</f>
        <v>2.7649769585253458E-2</v>
      </c>
      <c r="D17">
        <f t="shared" si="9"/>
        <v>2.4896265560165977E-2</v>
      </c>
      <c r="E17">
        <f t="shared" si="9"/>
        <v>1.7241379310344827E-2</v>
      </c>
      <c r="F17">
        <f t="shared" si="9"/>
        <v>3.1249999999999993E-2</v>
      </c>
      <c r="G17">
        <f t="shared" si="9"/>
        <v>4.1666666666666664E-2</v>
      </c>
      <c r="H17">
        <f t="shared" si="4"/>
        <v>3.5576466350593833E-2</v>
      </c>
      <c r="I17">
        <f t="shared" si="5"/>
        <v>6.2983863924143373</v>
      </c>
    </row>
    <row r="18" spans="1:9" x14ac:dyDescent="0.3">
      <c r="A18" s="2" t="s">
        <v>6</v>
      </c>
      <c r="B18" s="2">
        <f>SUM(B12:B17)</f>
        <v>1</v>
      </c>
      <c r="C18" s="2">
        <f t="shared" ref="C18:G18" si="10">SUM(C12:C17)</f>
        <v>1</v>
      </c>
      <c r="D18" s="2">
        <f t="shared" si="10"/>
        <v>1</v>
      </c>
      <c r="E18" s="2">
        <f t="shared" si="10"/>
        <v>1</v>
      </c>
      <c r="F18" s="2">
        <f t="shared" si="10"/>
        <v>0.99999999999999989</v>
      </c>
      <c r="G18" s="2">
        <f t="shared" si="10"/>
        <v>1</v>
      </c>
      <c r="H18" s="2">
        <f>SUM(H12:H17)</f>
        <v>1</v>
      </c>
      <c r="I18" s="3">
        <f>MAX(I12:I17)</f>
        <v>6.9412136138650373</v>
      </c>
    </row>
    <row r="21" spans="1:9" x14ac:dyDescent="0.3">
      <c r="A21">
        <v>1</v>
      </c>
      <c r="B21" t="s">
        <v>16</v>
      </c>
    </row>
    <row r="22" spans="1:9" x14ac:dyDescent="0.3">
      <c r="B22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4855-2DF3-4AEB-9AE0-2A996D6F8B17}">
  <dimension ref="A1:L56"/>
  <sheetViews>
    <sheetView topLeftCell="A36" workbookViewId="0">
      <selection activeCell="K51" sqref="K51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2" x14ac:dyDescent="0.3">
      <c r="A2" t="s">
        <v>0</v>
      </c>
      <c r="B2" s="1">
        <v>1</v>
      </c>
      <c r="C2">
        <v>5</v>
      </c>
      <c r="D2">
        <v>3</v>
      </c>
      <c r="E2">
        <v>7</v>
      </c>
      <c r="F2">
        <v>5</v>
      </c>
      <c r="G2">
        <v>7</v>
      </c>
    </row>
    <row r="3" spans="1:12" x14ac:dyDescent="0.3">
      <c r="A3" t="s">
        <v>1</v>
      </c>
      <c r="B3">
        <f>1/C2</f>
        <v>0.2</v>
      </c>
      <c r="C3" s="1">
        <v>1</v>
      </c>
      <c r="D3" s="4">
        <f>1/3</f>
        <v>0.33333333333333331</v>
      </c>
      <c r="E3" s="4">
        <v>3</v>
      </c>
      <c r="F3">
        <v>2</v>
      </c>
      <c r="G3">
        <v>5</v>
      </c>
    </row>
    <row r="4" spans="1:12" x14ac:dyDescent="0.3">
      <c r="A4" t="s">
        <v>2</v>
      </c>
      <c r="B4">
        <f>1/D2</f>
        <v>0.33333333333333331</v>
      </c>
      <c r="C4">
        <f>1/D3</f>
        <v>3</v>
      </c>
      <c r="D4" s="1">
        <v>1</v>
      </c>
      <c r="E4">
        <v>3</v>
      </c>
      <c r="F4">
        <v>2</v>
      </c>
      <c r="G4">
        <v>5</v>
      </c>
    </row>
    <row r="5" spans="1:12" x14ac:dyDescent="0.3">
      <c r="A5" t="s">
        <v>3</v>
      </c>
      <c r="B5">
        <f>1/E2</f>
        <v>0.14285714285714285</v>
      </c>
      <c r="C5">
        <f>1/E3</f>
        <v>0.33333333333333331</v>
      </c>
      <c r="D5">
        <f>1/E4</f>
        <v>0.33333333333333331</v>
      </c>
      <c r="E5" s="1">
        <v>1</v>
      </c>
      <c r="F5">
        <f>1/3</f>
        <v>0.33333333333333331</v>
      </c>
      <c r="G5">
        <v>3</v>
      </c>
    </row>
    <row r="6" spans="1:12" x14ac:dyDescent="0.3">
      <c r="A6" t="s">
        <v>4</v>
      </c>
      <c r="B6">
        <f>1/F2</f>
        <v>0.2</v>
      </c>
      <c r="C6">
        <f>1/F3</f>
        <v>0.5</v>
      </c>
      <c r="D6">
        <f>1/F4</f>
        <v>0.5</v>
      </c>
      <c r="E6">
        <f>1/F5</f>
        <v>3</v>
      </c>
      <c r="F6" s="1">
        <v>1</v>
      </c>
      <c r="G6">
        <v>3</v>
      </c>
    </row>
    <row r="7" spans="1:12" x14ac:dyDescent="0.3">
      <c r="A7" t="s">
        <v>5</v>
      </c>
      <c r="B7">
        <f>1/G2</f>
        <v>0.14285714285714285</v>
      </c>
      <c r="C7">
        <f>1/G3</f>
        <v>0.2</v>
      </c>
      <c r="D7">
        <f>1/G4</f>
        <v>0.2</v>
      </c>
      <c r="E7">
        <f>1/G5</f>
        <v>0.33333333333333331</v>
      </c>
      <c r="F7">
        <f>1/G6</f>
        <v>0.33333333333333331</v>
      </c>
      <c r="G7" s="1">
        <v>1</v>
      </c>
    </row>
    <row r="8" spans="1:12" x14ac:dyDescent="0.3">
      <c r="A8" s="2" t="s">
        <v>6</v>
      </c>
      <c r="B8" s="2">
        <f>SUM(B2:B7)</f>
        <v>2.019047619047619</v>
      </c>
      <c r="C8" s="2">
        <f t="shared" ref="C8:G8" si="0">SUM(C2:C7)</f>
        <v>10.033333333333333</v>
      </c>
      <c r="D8" s="2">
        <f t="shared" si="0"/>
        <v>5.3666666666666671</v>
      </c>
      <c r="E8" s="2">
        <f t="shared" si="0"/>
        <v>17.333333333333332</v>
      </c>
      <c r="F8" s="2">
        <f t="shared" si="0"/>
        <v>10.666666666666668</v>
      </c>
      <c r="G8" s="2">
        <f t="shared" si="0"/>
        <v>24</v>
      </c>
    </row>
    <row r="11" spans="1:12" x14ac:dyDescent="0.3"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7</v>
      </c>
      <c r="I11" t="s">
        <v>8</v>
      </c>
      <c r="J11" t="s">
        <v>9</v>
      </c>
      <c r="K11" t="s">
        <v>10</v>
      </c>
      <c r="L11" t="s">
        <v>13</v>
      </c>
    </row>
    <row r="12" spans="1:12" x14ac:dyDescent="0.3">
      <c r="A12" t="s">
        <v>0</v>
      </c>
      <c r="B12">
        <f>B2/B$8</f>
        <v>0.49528301886792453</v>
      </c>
      <c r="C12">
        <f t="shared" ref="C12:G17" si="1">C2/C$8</f>
        <v>0.49833887043189368</v>
      </c>
      <c r="D12">
        <f t="shared" si="1"/>
        <v>0.55900621118012417</v>
      </c>
      <c r="E12">
        <f t="shared" si="1"/>
        <v>0.40384615384615385</v>
      </c>
      <c r="F12">
        <f t="shared" si="1"/>
        <v>0.46874999999999994</v>
      </c>
      <c r="G12">
        <f t="shared" si="1"/>
        <v>0.29166666666666669</v>
      </c>
      <c r="H12">
        <f>AVERAGE(B12:G12)</f>
        <v>0.45281515349879381</v>
      </c>
      <c r="I12">
        <f>MMULT(B2:G2,H$12:H$17)/H12</f>
        <v>6.5862114467557982</v>
      </c>
      <c r="J12">
        <f>(I18-6)/5</f>
        <v>0.13228947326490276</v>
      </c>
      <c r="K12">
        <v>1.24</v>
      </c>
      <c r="L12">
        <f>J12/K12</f>
        <v>0.10668505908459899</v>
      </c>
    </row>
    <row r="13" spans="1:12" x14ac:dyDescent="0.3">
      <c r="A13" t="s">
        <v>1</v>
      </c>
      <c r="B13">
        <f t="shared" ref="B13:B17" si="2">B3/B$8</f>
        <v>9.9056603773584911E-2</v>
      </c>
      <c r="C13">
        <f t="shared" si="1"/>
        <v>9.9667774086378738E-2</v>
      </c>
      <c r="D13">
        <f t="shared" si="1"/>
        <v>6.2111801242236017E-2</v>
      </c>
      <c r="E13">
        <f t="shared" si="1"/>
        <v>0.1730769230769231</v>
      </c>
      <c r="F13">
        <f t="shared" si="1"/>
        <v>0.18749999999999997</v>
      </c>
      <c r="G13">
        <f t="shared" si="1"/>
        <v>0.20833333333333334</v>
      </c>
      <c r="H13">
        <f t="shared" ref="H13:H17" si="3">AVERAGE(B13:G13)</f>
        <v>0.13829107258540937</v>
      </c>
      <c r="I13">
        <f t="shared" ref="I13:I17" si="4">MMULT(B3:G3,H$12:H$17)/H13</f>
        <v>6.3729720224767483</v>
      </c>
      <c r="L13" t="s">
        <v>14</v>
      </c>
    </row>
    <row r="14" spans="1:12" x14ac:dyDescent="0.3">
      <c r="A14" t="s">
        <v>2</v>
      </c>
      <c r="B14">
        <f t="shared" si="2"/>
        <v>0.1650943396226415</v>
      </c>
      <c r="C14">
        <f t="shared" si="1"/>
        <v>0.29900332225913623</v>
      </c>
      <c r="D14">
        <f t="shared" si="1"/>
        <v>0.18633540372670807</v>
      </c>
      <c r="E14">
        <f t="shared" si="1"/>
        <v>0.1730769230769231</v>
      </c>
      <c r="F14">
        <f t="shared" si="1"/>
        <v>0.18749999999999997</v>
      </c>
      <c r="G14">
        <f t="shared" si="1"/>
        <v>0.20833333333333334</v>
      </c>
      <c r="H14">
        <f t="shared" si="3"/>
        <v>0.20322388700312369</v>
      </c>
      <c r="I14">
        <f t="shared" si="4"/>
        <v>6.6614473663245137</v>
      </c>
    </row>
    <row r="15" spans="1:12" x14ac:dyDescent="0.3">
      <c r="A15" t="s">
        <v>3</v>
      </c>
      <c r="B15">
        <f t="shared" si="2"/>
        <v>7.0754716981132074E-2</v>
      </c>
      <c r="C15">
        <f t="shared" si="1"/>
        <v>3.3222591362126241E-2</v>
      </c>
      <c r="D15">
        <f t="shared" si="1"/>
        <v>6.2111801242236017E-2</v>
      </c>
      <c r="E15">
        <f t="shared" si="1"/>
        <v>5.7692307692307696E-2</v>
      </c>
      <c r="F15">
        <f t="shared" si="1"/>
        <v>3.1249999999999993E-2</v>
      </c>
      <c r="G15">
        <f t="shared" si="1"/>
        <v>0.125</v>
      </c>
      <c r="H15">
        <f t="shared" si="3"/>
        <v>6.3338569546300336E-2</v>
      </c>
      <c r="I15">
        <f t="shared" si="4"/>
        <v>6.112105234430369</v>
      </c>
    </row>
    <row r="16" spans="1:12" x14ac:dyDescent="0.3">
      <c r="A16" t="s">
        <v>4</v>
      </c>
      <c r="B16">
        <f t="shared" si="2"/>
        <v>9.9056603773584911E-2</v>
      </c>
      <c r="C16">
        <f t="shared" si="1"/>
        <v>4.9833887043189369E-2</v>
      </c>
      <c r="D16">
        <f t="shared" si="1"/>
        <v>9.3167701863354033E-2</v>
      </c>
      <c r="E16">
        <f t="shared" si="1"/>
        <v>0.1730769230769231</v>
      </c>
      <c r="F16">
        <f t="shared" si="1"/>
        <v>9.3749999999999986E-2</v>
      </c>
      <c r="G16">
        <f t="shared" si="1"/>
        <v>0.125</v>
      </c>
      <c r="H16">
        <f t="shared" si="3"/>
        <v>0.1056475192928419</v>
      </c>
      <c r="I16">
        <f t="shared" si="4"/>
        <v>6.3137794158462128</v>
      </c>
    </row>
    <row r="17" spans="1:10" x14ac:dyDescent="0.3">
      <c r="A17" t="s">
        <v>5</v>
      </c>
      <c r="B17">
        <f t="shared" si="2"/>
        <v>7.0754716981132074E-2</v>
      </c>
      <c r="C17">
        <f t="shared" si="1"/>
        <v>1.993355481727575E-2</v>
      </c>
      <c r="D17">
        <f t="shared" si="1"/>
        <v>3.7267080745341616E-2</v>
      </c>
      <c r="E17">
        <f t="shared" si="1"/>
        <v>1.9230769230769232E-2</v>
      </c>
      <c r="F17">
        <f t="shared" si="1"/>
        <v>3.1249999999999993E-2</v>
      </c>
      <c r="G17">
        <f t="shared" si="1"/>
        <v>4.1666666666666664E-2</v>
      </c>
      <c r="H17">
        <f t="shared" si="3"/>
        <v>3.6683798073530886E-2</v>
      </c>
      <c r="I17">
        <f t="shared" si="4"/>
        <v>6.1608496723593102</v>
      </c>
    </row>
    <row r="18" spans="1:10" x14ac:dyDescent="0.3">
      <c r="A18" s="2" t="s">
        <v>6</v>
      </c>
      <c r="B18" s="2">
        <f>SUM(B12:B17)</f>
        <v>1</v>
      </c>
      <c r="C18" s="2">
        <f t="shared" ref="C18:G18" si="5">SUM(C12:C17)</f>
        <v>1</v>
      </c>
      <c r="D18" s="2">
        <f t="shared" si="5"/>
        <v>0.99999999999999989</v>
      </c>
      <c r="E18" s="2">
        <f t="shared" si="5"/>
        <v>1.0000000000000002</v>
      </c>
      <c r="F18" s="2">
        <f t="shared" si="5"/>
        <v>0.99999999999999989</v>
      </c>
      <c r="G18" s="2">
        <f t="shared" si="5"/>
        <v>1</v>
      </c>
      <c r="H18" s="2">
        <f>SUM(H12:H17)</f>
        <v>0.99999999999999989</v>
      </c>
      <c r="I18" s="3">
        <f>MAX(I12:I17)</f>
        <v>6.6614473663245137</v>
      </c>
    </row>
    <row r="21" spans="1:10" x14ac:dyDescent="0.3">
      <c r="A21">
        <v>1</v>
      </c>
      <c r="B21" t="s">
        <v>16</v>
      </c>
    </row>
    <row r="22" spans="1:10" x14ac:dyDescent="0.3">
      <c r="B22" t="s">
        <v>15</v>
      </c>
    </row>
    <row r="24" spans="1:10" x14ac:dyDescent="0.3">
      <c r="H24" s="5" t="s">
        <v>17</v>
      </c>
      <c r="I24" s="5" t="s">
        <v>18</v>
      </c>
      <c r="J24" t="s">
        <v>19</v>
      </c>
    </row>
    <row r="25" spans="1:10" x14ac:dyDescent="0.3">
      <c r="B25" s="1">
        <f t="array" ref="B25:G30">MMULT(B2:G7,B2:G7)</f>
        <v>6</v>
      </c>
      <c r="C25">
        <v>25.233333333333331</v>
      </c>
      <c r="D25">
        <v>13.9</v>
      </c>
      <c r="E25">
        <v>55.333333333333336</v>
      </c>
      <c r="F25">
        <v>30.666666666666664</v>
      </c>
      <c r="G25">
        <v>90</v>
      </c>
      <c r="H25">
        <f>SUM(B25:G25)</f>
        <v>221.13333333333333</v>
      </c>
      <c r="I25">
        <f>H25/$H$31</f>
        <v>0.46183804340907647</v>
      </c>
    </row>
    <row r="26" spans="1:10" x14ac:dyDescent="0.3">
      <c r="B26">
        <v>2.0539682539682538</v>
      </c>
      <c r="C26" s="1">
        <v>6</v>
      </c>
      <c r="D26" s="4">
        <v>4.2666666666666666</v>
      </c>
      <c r="E26" s="4">
        <v>16.066666666666666</v>
      </c>
      <c r="F26">
        <v>8.3333333333333321</v>
      </c>
      <c r="G26">
        <v>28.066666666666666</v>
      </c>
      <c r="H26">
        <f t="shared" ref="H26:H30" si="6">SUM(B26:G26)</f>
        <v>64.787301587301585</v>
      </c>
      <c r="I26">
        <f t="shared" ref="I26:I30" si="7">H26/$H$31</f>
        <v>0.13530859482740332</v>
      </c>
    </row>
    <row r="27" spans="1:10" x14ac:dyDescent="0.3">
      <c r="B27">
        <v>2.8095238095238093</v>
      </c>
      <c r="C27">
        <v>10.666666666666666</v>
      </c>
      <c r="D27" s="1">
        <v>6</v>
      </c>
      <c r="E27">
        <v>25</v>
      </c>
      <c r="F27">
        <v>14.333333333333332</v>
      </c>
      <c r="G27">
        <v>42.333333333333329</v>
      </c>
      <c r="H27">
        <f t="shared" si="6"/>
        <v>101.14285714285714</v>
      </c>
      <c r="I27">
        <f t="shared" si="7"/>
        <v>0.21123734962764945</v>
      </c>
    </row>
    <row r="28" spans="1:10" x14ac:dyDescent="0.3">
      <c r="B28">
        <v>0.95873015873015865</v>
      </c>
      <c r="C28">
        <v>3.1476190476190475</v>
      </c>
      <c r="D28">
        <v>1.9730158730158731</v>
      </c>
      <c r="E28" s="1">
        <v>6</v>
      </c>
      <c r="F28">
        <v>3.7142857142857144</v>
      </c>
      <c r="G28">
        <v>11.333333333333332</v>
      </c>
      <c r="H28">
        <f t="shared" si="6"/>
        <v>27.126984126984127</v>
      </c>
      <c r="I28">
        <f t="shared" si="7"/>
        <v>5.6654838435915393E-2</v>
      </c>
    </row>
    <row r="29" spans="1:10" x14ac:dyDescent="0.3">
      <c r="B29">
        <v>1.5238095238095237</v>
      </c>
      <c r="C29">
        <v>5.0999999999999996</v>
      </c>
      <c r="D29">
        <v>3.3666666666666667</v>
      </c>
      <c r="E29">
        <v>11.4</v>
      </c>
      <c r="F29" s="1">
        <v>6</v>
      </c>
      <c r="G29">
        <v>21.4</v>
      </c>
      <c r="H29">
        <f t="shared" si="6"/>
        <v>48.790476190476191</v>
      </c>
      <c r="I29">
        <f t="shared" si="7"/>
        <v>0.10189914709439248</v>
      </c>
    </row>
    <row r="30" spans="1:10" x14ac:dyDescent="0.3">
      <c r="B30">
        <v>0.5066666666666666</v>
      </c>
      <c r="C30">
        <v>1.9920634920634921</v>
      </c>
      <c r="D30">
        <v>1.1730158730158731</v>
      </c>
      <c r="E30">
        <v>3.8666666666666671</v>
      </c>
      <c r="F30">
        <v>2.2920634920634919</v>
      </c>
      <c r="G30" s="1">
        <v>6</v>
      </c>
      <c r="H30">
        <f t="shared" si="6"/>
        <v>15.83047619047619</v>
      </c>
      <c r="I30">
        <f t="shared" si="7"/>
        <v>3.3062026605562983E-2</v>
      </c>
    </row>
    <row r="31" spans="1:10" x14ac:dyDescent="0.3">
      <c r="H31">
        <f>SUM(H25:H30)</f>
        <v>478.81142857142851</v>
      </c>
    </row>
    <row r="34" spans="2:10" x14ac:dyDescent="0.3">
      <c r="B34">
        <f t="array" ref="B34:G39">MMULT(B25:G30,B25:G30)</f>
        <v>272.26074074074074</v>
      </c>
      <c r="C34">
        <v>960.92063492063494</v>
      </c>
      <c r="D34">
        <v>592.4516402116401</v>
      </c>
      <c r="E34">
        <v>2114.5155555555557</v>
      </c>
      <c r="F34">
        <v>1189.3206349206348</v>
      </c>
      <c r="G34">
        <v>3660.0266666666666</v>
      </c>
      <c r="H34">
        <f>SUM(B34:G34)</f>
        <v>8789.4958730158723</v>
      </c>
      <c r="I34">
        <f>H34/$H$40</f>
        <v>0.46074864434350971</v>
      </c>
      <c r="J34">
        <f>I25-I34</f>
        <v>1.0893990655667651E-3</v>
      </c>
    </row>
    <row r="35" spans="2:10" x14ac:dyDescent="0.3">
      <c r="B35">
        <v>78.95737566137565</v>
      </c>
      <c r="C35">
        <v>282.32190476190476</v>
      </c>
      <c r="D35">
        <v>172.42814814814815</v>
      </c>
      <c r="E35">
        <v>616.64402116402118</v>
      </c>
      <c r="F35">
        <v>348.15068783068779</v>
      </c>
      <c r="G35">
        <v>1062.7015873015871</v>
      </c>
      <c r="H35">
        <f t="shared" ref="H35:H39" si="8">SUM(B35:G35)</f>
        <v>2561.2037248677243</v>
      </c>
      <c r="I35">
        <f t="shared" ref="I35:I39" si="9">H35/$H$40</f>
        <v>0.13425925231311847</v>
      </c>
      <c r="J35">
        <f t="shared" ref="J35:J39" si="10">I26-I35</f>
        <v>1.0493425142848456E-3</v>
      </c>
    </row>
    <row r="36" spans="2:10" x14ac:dyDescent="0.3">
      <c r="B36">
        <v>122.8816931216931</v>
      </c>
      <c r="C36">
        <v>435.01481481481471</v>
      </c>
      <c r="D36">
        <v>267.80211640211638</v>
      </c>
      <c r="E36">
        <v>953.92698412698405</v>
      </c>
      <c r="F36">
        <v>536.93544973544977</v>
      </c>
      <c r="G36">
        <v>1650.3015873015872</v>
      </c>
      <c r="H36">
        <f t="shared" si="8"/>
        <v>3966.8626455026451</v>
      </c>
      <c r="I36">
        <f t="shared" si="9"/>
        <v>0.20794441599585375</v>
      </c>
      <c r="J36">
        <f t="shared" si="10"/>
        <v>3.292933631795697E-3</v>
      </c>
    </row>
    <row r="37" spans="2:10" x14ac:dyDescent="0.3">
      <c r="B37">
        <v>34.915192743764166</v>
      </c>
      <c r="C37">
        <v>124.52846560846558</v>
      </c>
      <c r="D37">
        <v>76.23132275132275</v>
      </c>
      <c r="E37">
        <v>275.11195767195773</v>
      </c>
      <c r="F37">
        <v>154.45925925925923</v>
      </c>
      <c r="G37">
        <v>473.63894179894174</v>
      </c>
      <c r="H37">
        <f t="shared" si="8"/>
        <v>1138.8851398337113</v>
      </c>
      <c r="I37">
        <f t="shared" si="9"/>
        <v>5.9700782823315784E-2</v>
      </c>
      <c r="J37">
        <f t="shared" si="10"/>
        <v>-3.0459443874003914E-3</v>
      </c>
    </row>
    <row r="38" spans="2:10" x14ac:dyDescent="0.3">
      <c r="B38">
        <v>59.991873015873018</v>
      </c>
      <c r="C38">
        <v>214.0749206349206</v>
      </c>
      <c r="D38">
        <v>130.93587301587303</v>
      </c>
      <c r="E38">
        <v>469.97079365079367</v>
      </c>
      <c r="F38">
        <v>264.87873015873015</v>
      </c>
      <c r="G38">
        <v>808.80507936507934</v>
      </c>
      <c r="H38">
        <f t="shared" si="8"/>
        <v>1948.6572698412699</v>
      </c>
      <c r="I38">
        <f t="shared" si="9"/>
        <v>0.10214933920452716</v>
      </c>
      <c r="J38">
        <f t="shared" si="10"/>
        <v>-2.5019211013468934E-4</v>
      </c>
    </row>
    <row r="39" spans="2:10" x14ac:dyDescent="0.3">
      <c r="B39">
        <v>20.667009322247416</v>
      </c>
      <c r="C39">
        <v>73.062137566137565</v>
      </c>
      <c r="D39">
        <v>44.963936507936509</v>
      </c>
      <c r="E39">
        <v>161.89629629629633</v>
      </c>
      <c r="F39">
        <v>90.818201058201041</v>
      </c>
      <c r="G39">
        <v>280.04063492063494</v>
      </c>
      <c r="H39">
        <f t="shared" si="8"/>
        <v>671.4482156714538</v>
      </c>
      <c r="I39">
        <f t="shared" si="9"/>
        <v>3.5197565319675099E-2</v>
      </c>
      <c r="J39">
        <f t="shared" si="10"/>
        <v>-2.135538714112116E-3</v>
      </c>
    </row>
    <row r="40" spans="2:10" x14ac:dyDescent="0.3">
      <c r="H40">
        <f>SUM(H34:H39)</f>
        <v>19076.552868732677</v>
      </c>
    </row>
    <row r="42" spans="2:10" x14ac:dyDescent="0.3">
      <c r="D42" t="s">
        <v>20</v>
      </c>
    </row>
    <row r="47" spans="2:10" x14ac:dyDescent="0.3">
      <c r="H47" t="s">
        <v>22</v>
      </c>
      <c r="I47" t="s">
        <v>23</v>
      </c>
      <c r="J47" t="s">
        <v>24</v>
      </c>
    </row>
    <row r="48" spans="2:10" x14ac:dyDescent="0.3">
      <c r="B48" s="1">
        <v>1</v>
      </c>
      <c r="C48">
        <v>5</v>
      </c>
      <c r="D48">
        <v>3</v>
      </c>
      <c r="E48">
        <v>7</v>
      </c>
      <c r="F48">
        <v>5</v>
      </c>
      <c r="G48">
        <v>7</v>
      </c>
      <c r="H48">
        <v>0.58532957359369397</v>
      </c>
      <c r="I48">
        <f t="array" ref="I48:I53">MMULT(B48:G53,H48:H53)</f>
        <v>2.3990513332180612</v>
      </c>
      <c r="J48">
        <f>I48/H48</f>
        <v>4.0986333878345276</v>
      </c>
    </row>
    <row r="49" spans="2:10" x14ac:dyDescent="0.3">
      <c r="B49">
        <f>1/C48</f>
        <v>0.2</v>
      </c>
      <c r="C49" s="1">
        <v>1</v>
      </c>
      <c r="D49" s="4">
        <f>1/3</f>
        <v>0.33333333333333331</v>
      </c>
      <c r="E49" s="4">
        <v>3</v>
      </c>
      <c r="F49">
        <v>2</v>
      </c>
      <c r="G49">
        <v>5</v>
      </c>
      <c r="H49">
        <v>9.405772818292453E-2</v>
      </c>
      <c r="I49">
        <v>0.69534293935958846</v>
      </c>
      <c r="J49">
        <f t="shared" ref="J49:J53" si="11">I49/H49</f>
        <v>7.3927252209119665</v>
      </c>
    </row>
    <row r="50" spans="2:10" x14ac:dyDescent="0.3">
      <c r="B50">
        <f>1/D48</f>
        <v>0.33333333333333331</v>
      </c>
      <c r="C50">
        <f>1/D49</f>
        <v>3</v>
      </c>
      <c r="D50" s="1">
        <v>1</v>
      </c>
      <c r="E50">
        <v>3</v>
      </c>
      <c r="F50">
        <v>2</v>
      </c>
      <c r="G50">
        <v>5</v>
      </c>
      <c r="H50">
        <v>0.17432956797428192</v>
      </c>
      <c r="I50">
        <v>1.0777220508541179</v>
      </c>
      <c r="J50">
        <f t="shared" si="11"/>
        <v>6.1820955755085079</v>
      </c>
    </row>
    <row r="51" spans="2:10" x14ac:dyDescent="0.3">
      <c r="B51">
        <f>1/E48</f>
        <v>0.14285714285714285</v>
      </c>
      <c r="C51">
        <f>1/E49</f>
        <v>0.33333333333333331</v>
      </c>
      <c r="D51">
        <f>1/E50</f>
        <v>0.33333333333333331</v>
      </c>
      <c r="E51" s="1">
        <v>1</v>
      </c>
      <c r="F51">
        <f>1/3</f>
        <v>0.33333333333333331</v>
      </c>
      <c r="G51">
        <v>3</v>
      </c>
      <c r="H51">
        <v>0</v>
      </c>
      <c r="I51">
        <v>0.34054704394449092</v>
      </c>
      <c r="J51" t="e">
        <f>I51/H51</f>
        <v>#DIV/0!</v>
      </c>
    </row>
    <row r="52" spans="2:10" x14ac:dyDescent="0.3">
      <c r="B52">
        <f>1/F48</f>
        <v>0.2</v>
      </c>
      <c r="C52">
        <f>1/F49</f>
        <v>0.5</v>
      </c>
      <c r="D52">
        <f>1/F50</f>
        <v>0.5</v>
      </c>
      <c r="E52">
        <f>1/F51</f>
        <v>3</v>
      </c>
      <c r="F52" s="1">
        <v>1</v>
      </c>
      <c r="G52">
        <v>3</v>
      </c>
      <c r="H52">
        <v>0.10176872642445552</v>
      </c>
      <c r="I52">
        <v>0.4865714817923496</v>
      </c>
      <c r="J52">
        <f t="shared" si="11"/>
        <v>4.7811493656996786</v>
      </c>
    </row>
    <row r="53" spans="2:10" x14ac:dyDescent="0.3">
      <c r="B53">
        <f>1/G48</f>
        <v>0.14285714285714285</v>
      </c>
      <c r="C53">
        <f>1/G49</f>
        <v>0.2</v>
      </c>
      <c r="D53">
        <f>1/G50</f>
        <v>0.2</v>
      </c>
      <c r="E53">
        <f>1/G51</f>
        <v>0.33333333333333331</v>
      </c>
      <c r="F53">
        <f>1/G52</f>
        <v>0.33333333333333331</v>
      </c>
      <c r="G53" s="1">
        <v>1</v>
      </c>
      <c r="H53">
        <v>4.4514397523517359E-2</v>
      </c>
      <c r="I53">
        <v>0.21573327607649537</v>
      </c>
      <c r="J53">
        <f t="shared" si="11"/>
        <v>4.8463707941351233</v>
      </c>
    </row>
    <row r="54" spans="2:10" x14ac:dyDescent="0.3">
      <c r="H54">
        <f>SUM(H48:H53)</f>
        <v>0.99999999369887338</v>
      </c>
      <c r="J54" t="e">
        <f>VARPA(J48:J53)</f>
        <v>#DIV/0!</v>
      </c>
    </row>
    <row r="56" spans="2:10" x14ac:dyDescent="0.3">
      <c r="I56" t="s"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05F3-1715-4EC5-8912-074D994226D5}">
  <dimension ref="A1:A5"/>
  <sheetViews>
    <sheetView workbookViewId="0">
      <selection activeCell="A5" sqref="A5"/>
    </sheetView>
  </sheetViews>
  <sheetFormatPr defaultRowHeight="14.4" x14ac:dyDescent="0.3"/>
  <sheetData>
    <row r="1" spans="1:1" x14ac:dyDescent="0.3">
      <c r="A1" t="s">
        <v>12</v>
      </c>
    </row>
    <row r="2" spans="1:1" x14ac:dyDescent="0.3">
      <c r="A2" t="s">
        <v>11</v>
      </c>
    </row>
    <row r="3" spans="1:1" x14ac:dyDescent="0.3">
      <c r="A3" s="6" t="s">
        <v>21</v>
      </c>
    </row>
    <row r="5" spans="1:1" x14ac:dyDescent="0.3">
      <c r="A5" s="6" t="s">
        <v>26</v>
      </c>
    </row>
  </sheetData>
  <hyperlinks>
    <hyperlink ref="A3" r:id="rId1" display="https://www.youtube.com/watch?v=l0WVf60ay44" xr:uid="{975845E0-CC93-44E2-AD0F-ACF9852508B9}"/>
    <hyperlink ref="A5" r:id="rId2" display="https://www.youtube.com/watch?v=P4OCiNiNaGM" xr:uid="{72CE765A-3335-4118-AF99-B8961464A0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5852-4ED2-4128-8F4E-242EFB023A29}">
  <dimension ref="A1:L34"/>
  <sheetViews>
    <sheetView tabSelected="1" topLeftCell="B1" workbookViewId="0">
      <selection activeCell="L27" sqref="L27"/>
    </sheetView>
  </sheetViews>
  <sheetFormatPr defaultRowHeight="14.4" x14ac:dyDescent="0.3"/>
  <cols>
    <col min="1" max="1" width="14.21875" bestFit="1" customWidth="1"/>
    <col min="12" max="12" width="21.6640625" bestFit="1" customWidth="1"/>
  </cols>
  <sheetData>
    <row r="1" spans="1:12" x14ac:dyDescent="0.3">
      <c r="B1" t="s">
        <v>0</v>
      </c>
      <c r="C1" t="s">
        <v>27</v>
      </c>
      <c r="D1" t="s">
        <v>28</v>
      </c>
      <c r="E1" t="s">
        <v>5</v>
      </c>
      <c r="F1" t="s">
        <v>38</v>
      </c>
      <c r="G1" t="s">
        <v>30</v>
      </c>
      <c r="H1" t="s">
        <v>31</v>
      </c>
      <c r="I1" t="s">
        <v>32</v>
      </c>
    </row>
    <row r="2" spans="1:12" x14ac:dyDescent="0.3">
      <c r="A2" t="s">
        <v>0</v>
      </c>
      <c r="B2">
        <v>1</v>
      </c>
      <c r="C2">
        <v>2</v>
      </c>
      <c r="D2">
        <v>5</v>
      </c>
      <c r="E2">
        <v>6</v>
      </c>
      <c r="F2">
        <v>4</v>
      </c>
      <c r="G2">
        <v>3</v>
      </c>
      <c r="H2">
        <v>8</v>
      </c>
      <c r="I2">
        <v>5</v>
      </c>
    </row>
    <row r="3" spans="1:12" x14ac:dyDescent="0.3">
      <c r="A3" t="s">
        <v>27</v>
      </c>
      <c r="B3">
        <f>1/2</f>
        <v>0.5</v>
      </c>
      <c r="C3">
        <v>1</v>
      </c>
      <c r="D3">
        <v>5</v>
      </c>
      <c r="E3">
        <v>5</v>
      </c>
      <c r="F3">
        <v>4</v>
      </c>
      <c r="G3">
        <v>2</v>
      </c>
      <c r="H3">
        <v>7</v>
      </c>
      <c r="I3">
        <v>5</v>
      </c>
    </row>
    <row r="4" spans="1:12" x14ac:dyDescent="0.3">
      <c r="A4" t="s">
        <v>28</v>
      </c>
      <c r="B4">
        <f>1/5</f>
        <v>0.2</v>
      </c>
      <c r="C4">
        <f>1/5</f>
        <v>0.2</v>
      </c>
      <c r="D4">
        <v>1</v>
      </c>
      <c r="E4">
        <v>3</v>
      </c>
      <c r="F4">
        <f>1/2</f>
        <v>0.5</v>
      </c>
      <c r="G4">
        <f>1/5</f>
        <v>0.2</v>
      </c>
      <c r="H4">
        <v>5</v>
      </c>
      <c r="I4">
        <f>1/2</f>
        <v>0.5</v>
      </c>
    </row>
    <row r="5" spans="1:12" x14ac:dyDescent="0.3">
      <c r="A5" t="s">
        <v>5</v>
      </c>
      <c r="B5">
        <f>1/6</f>
        <v>0.16666666666666666</v>
      </c>
      <c r="C5">
        <f>1/5</f>
        <v>0.2</v>
      </c>
      <c r="D5">
        <f>1/3</f>
        <v>0.33333333333333331</v>
      </c>
      <c r="E5">
        <v>1</v>
      </c>
      <c r="F5">
        <f>1/3</f>
        <v>0.33333333333333331</v>
      </c>
      <c r="G5">
        <f>1/4</f>
        <v>0.25</v>
      </c>
      <c r="H5">
        <v>3</v>
      </c>
      <c r="I5">
        <f>1/3</f>
        <v>0.33333333333333331</v>
      </c>
    </row>
    <row r="6" spans="1:12" x14ac:dyDescent="0.3">
      <c r="A6" t="s">
        <v>29</v>
      </c>
      <c r="B6">
        <f>1/4</f>
        <v>0.25</v>
      </c>
      <c r="C6">
        <f>1/4</f>
        <v>0.25</v>
      </c>
      <c r="D6">
        <v>2</v>
      </c>
      <c r="E6">
        <v>3</v>
      </c>
      <c r="F6">
        <v>1</v>
      </c>
      <c r="G6">
        <f>1/3</f>
        <v>0.33333333333333331</v>
      </c>
      <c r="H6">
        <v>5</v>
      </c>
      <c r="I6">
        <f>1/3</f>
        <v>0.33333333333333331</v>
      </c>
    </row>
    <row r="7" spans="1:12" x14ac:dyDescent="0.3">
      <c r="A7" t="s">
        <v>30</v>
      </c>
      <c r="B7">
        <f>1/3</f>
        <v>0.33333333333333331</v>
      </c>
      <c r="C7">
        <f>1/2</f>
        <v>0.5</v>
      </c>
      <c r="D7">
        <v>5</v>
      </c>
      <c r="E7">
        <v>4</v>
      </c>
      <c r="F7">
        <v>3</v>
      </c>
      <c r="G7">
        <v>1</v>
      </c>
      <c r="H7">
        <v>6</v>
      </c>
      <c r="I7">
        <v>3</v>
      </c>
    </row>
    <row r="8" spans="1:12" x14ac:dyDescent="0.3">
      <c r="A8" t="s">
        <v>31</v>
      </c>
      <c r="B8">
        <f>1/8</f>
        <v>0.125</v>
      </c>
      <c r="C8">
        <f>1/7</f>
        <v>0.14285714285714285</v>
      </c>
      <c r="D8">
        <f>1/5</f>
        <v>0.2</v>
      </c>
      <c r="E8">
        <f>1/3</f>
        <v>0.33333333333333331</v>
      </c>
      <c r="F8">
        <f>1/5</f>
        <v>0.2</v>
      </c>
      <c r="G8">
        <f>1/6</f>
        <v>0.16666666666666666</v>
      </c>
      <c r="H8">
        <v>1</v>
      </c>
      <c r="I8">
        <f>1/5</f>
        <v>0.2</v>
      </c>
    </row>
    <row r="9" spans="1:12" x14ac:dyDescent="0.3">
      <c r="A9" t="s">
        <v>32</v>
      </c>
      <c r="B9">
        <f>1/5</f>
        <v>0.2</v>
      </c>
      <c r="C9">
        <f>1/5</f>
        <v>0.2</v>
      </c>
      <c r="D9">
        <v>2</v>
      </c>
      <c r="E9">
        <v>3</v>
      </c>
      <c r="F9">
        <v>3</v>
      </c>
      <c r="G9">
        <f>1/3</f>
        <v>0.33333333333333331</v>
      </c>
      <c r="H9">
        <v>5</v>
      </c>
      <c r="I9">
        <v>1</v>
      </c>
    </row>
    <row r="10" spans="1:12" x14ac:dyDescent="0.3">
      <c r="B10">
        <f>SUM(B2:B9)</f>
        <v>2.7750000000000004</v>
      </c>
      <c r="C10">
        <f t="shared" ref="C10:I10" si="0">SUM(C2:C9)</f>
        <v>4.4928571428571438</v>
      </c>
      <c r="D10">
        <f t="shared" si="0"/>
        <v>20.533333333333335</v>
      </c>
      <c r="E10">
        <f t="shared" si="0"/>
        <v>25.333333333333332</v>
      </c>
      <c r="F10">
        <f t="shared" si="0"/>
        <v>16.033333333333331</v>
      </c>
      <c r="G10">
        <f t="shared" si="0"/>
        <v>7.2833333333333332</v>
      </c>
      <c r="H10">
        <f t="shared" si="0"/>
        <v>40</v>
      </c>
      <c r="I10">
        <f t="shared" si="0"/>
        <v>15.366666666666667</v>
      </c>
    </row>
    <row r="11" spans="1:12" x14ac:dyDescent="0.3">
      <c r="A11" t="s">
        <v>33</v>
      </c>
    </row>
    <row r="12" spans="1:12" x14ac:dyDescent="0.3">
      <c r="B12" t="s">
        <v>0</v>
      </c>
      <c r="C12" t="s">
        <v>27</v>
      </c>
      <c r="D12" t="s">
        <v>28</v>
      </c>
      <c r="E12" t="s">
        <v>5</v>
      </c>
      <c r="F12" t="s">
        <v>29</v>
      </c>
      <c r="G12" t="s">
        <v>30</v>
      </c>
      <c r="H12" t="s">
        <v>31</v>
      </c>
      <c r="I12" t="s">
        <v>32</v>
      </c>
      <c r="J12" t="s">
        <v>6</v>
      </c>
      <c r="K12" t="s">
        <v>34</v>
      </c>
      <c r="L12" t="s">
        <v>35</v>
      </c>
    </row>
    <row r="13" spans="1:12" x14ac:dyDescent="0.3">
      <c r="A13" t="s">
        <v>0</v>
      </c>
      <c r="B13">
        <f>B2/$B$10</f>
        <v>0.36036036036036029</v>
      </c>
      <c r="C13">
        <f>C2/C$10</f>
        <v>0.44515103338632739</v>
      </c>
      <c r="D13">
        <f t="shared" ref="D13:I13" si="1">D2/D$10</f>
        <v>0.24350649350649348</v>
      </c>
      <c r="E13">
        <f t="shared" si="1"/>
        <v>0.23684210526315791</v>
      </c>
      <c r="F13">
        <f t="shared" si="1"/>
        <v>0.24948024948024952</v>
      </c>
      <c r="G13">
        <f t="shared" si="1"/>
        <v>0.41189931350114417</v>
      </c>
      <c r="H13">
        <f t="shared" si="1"/>
        <v>0.2</v>
      </c>
      <c r="I13">
        <f t="shared" si="1"/>
        <v>0.32537960954446854</v>
      </c>
      <c r="J13">
        <f>SUM(B13:I13)</f>
        <v>2.4726191650422016</v>
      </c>
      <c r="K13">
        <f>J13/8</f>
        <v>0.3090773956302752</v>
      </c>
      <c r="L13">
        <f>K13*100</f>
        <v>30.907739563027519</v>
      </c>
    </row>
    <row r="14" spans="1:12" x14ac:dyDescent="0.3">
      <c r="A14" t="s">
        <v>27</v>
      </c>
      <c r="B14">
        <f t="shared" ref="B14:B20" si="2">B3/$B$10</f>
        <v>0.18018018018018014</v>
      </c>
      <c r="C14">
        <f t="shared" ref="C14:I20" si="3">C3/C$10</f>
        <v>0.22257551669316369</v>
      </c>
      <c r="D14">
        <f t="shared" si="3"/>
        <v>0.24350649350649348</v>
      </c>
      <c r="E14">
        <f t="shared" si="3"/>
        <v>0.19736842105263158</v>
      </c>
      <c r="F14">
        <f t="shared" si="3"/>
        <v>0.24948024948024952</v>
      </c>
      <c r="G14">
        <f t="shared" si="3"/>
        <v>0.27459954233409611</v>
      </c>
      <c r="H14">
        <f t="shared" si="3"/>
        <v>0.17499999999999999</v>
      </c>
      <c r="I14">
        <f t="shared" si="3"/>
        <v>0.32537960954446854</v>
      </c>
      <c r="J14">
        <f t="shared" ref="J14:J20" si="4">SUM(B14:I14)</f>
        <v>1.8680900127912832</v>
      </c>
      <c r="K14">
        <f t="shared" ref="K14:K20" si="5">J14/8</f>
        <v>0.2335112515989104</v>
      </c>
      <c r="L14">
        <f t="shared" ref="L14:L20" si="6">K14*100</f>
        <v>23.351125159891041</v>
      </c>
    </row>
    <row r="15" spans="1:12" x14ac:dyDescent="0.3">
      <c r="A15" t="s">
        <v>28</v>
      </c>
      <c r="B15">
        <f t="shared" si="2"/>
        <v>7.2072072072072071E-2</v>
      </c>
      <c r="C15">
        <f t="shared" si="3"/>
        <v>4.4515103338632747E-2</v>
      </c>
      <c r="D15">
        <f t="shared" si="3"/>
        <v>4.8701298701298697E-2</v>
      </c>
      <c r="E15">
        <f t="shared" si="3"/>
        <v>0.11842105263157895</v>
      </c>
      <c r="F15">
        <f t="shared" si="3"/>
        <v>3.118503118503119E-2</v>
      </c>
      <c r="G15">
        <f t="shared" si="3"/>
        <v>2.7459954233409613E-2</v>
      </c>
      <c r="H15">
        <f t="shared" si="3"/>
        <v>0.125</v>
      </c>
      <c r="I15">
        <f t="shared" si="3"/>
        <v>3.2537960954446853E-2</v>
      </c>
      <c r="J15">
        <f t="shared" si="4"/>
        <v>0.49989247311647012</v>
      </c>
      <c r="K15">
        <f t="shared" si="5"/>
        <v>6.2486559139558764E-2</v>
      </c>
      <c r="L15">
        <f t="shared" si="6"/>
        <v>6.2486559139558766</v>
      </c>
    </row>
    <row r="16" spans="1:12" x14ac:dyDescent="0.3">
      <c r="A16" t="s">
        <v>5</v>
      </c>
      <c r="B16">
        <f t="shared" si="2"/>
        <v>6.0060060060060046E-2</v>
      </c>
      <c r="C16">
        <f t="shared" si="3"/>
        <v>4.4515103338632747E-2</v>
      </c>
      <c r="D16">
        <f t="shared" si="3"/>
        <v>1.6233766233766232E-2</v>
      </c>
      <c r="E16">
        <f t="shared" si="3"/>
        <v>3.9473684210526321E-2</v>
      </c>
      <c r="F16">
        <f t="shared" si="3"/>
        <v>2.0790020790020791E-2</v>
      </c>
      <c r="G16">
        <f t="shared" si="3"/>
        <v>3.4324942791762014E-2</v>
      </c>
      <c r="H16">
        <f t="shared" si="3"/>
        <v>7.4999999999999997E-2</v>
      </c>
      <c r="I16">
        <f t="shared" si="3"/>
        <v>2.1691973969631236E-2</v>
      </c>
      <c r="J16">
        <f t="shared" si="4"/>
        <v>0.31208955139439942</v>
      </c>
      <c r="K16">
        <f t="shared" si="5"/>
        <v>3.9011193924299928E-2</v>
      </c>
      <c r="L16">
        <f t="shared" si="6"/>
        <v>3.9011193924299929</v>
      </c>
    </row>
    <row r="17" spans="1:12" x14ac:dyDescent="0.3">
      <c r="A17" t="s">
        <v>29</v>
      </c>
      <c r="B17">
        <f t="shared" si="2"/>
        <v>9.0090090090090072E-2</v>
      </c>
      <c r="C17">
        <f t="shared" si="3"/>
        <v>5.5643879173290924E-2</v>
      </c>
      <c r="D17">
        <f t="shared" si="3"/>
        <v>9.7402597402597393E-2</v>
      </c>
      <c r="E17">
        <f t="shared" si="3"/>
        <v>0.11842105263157895</v>
      </c>
      <c r="F17">
        <f t="shared" si="3"/>
        <v>6.237006237006238E-2</v>
      </c>
      <c r="G17">
        <f t="shared" si="3"/>
        <v>4.5766590389016017E-2</v>
      </c>
      <c r="H17">
        <f t="shared" si="3"/>
        <v>0.125</v>
      </c>
      <c r="I17">
        <f t="shared" si="3"/>
        <v>2.1691973969631236E-2</v>
      </c>
      <c r="J17">
        <f t="shared" si="4"/>
        <v>0.6163862460262669</v>
      </c>
      <c r="K17">
        <f t="shared" si="5"/>
        <v>7.7048280753283363E-2</v>
      </c>
      <c r="L17">
        <f t="shared" si="6"/>
        <v>7.7048280753283365</v>
      </c>
    </row>
    <row r="18" spans="1:12" x14ac:dyDescent="0.3">
      <c r="A18" t="s">
        <v>30</v>
      </c>
      <c r="B18">
        <f t="shared" si="2"/>
        <v>0.12012012012012009</v>
      </c>
      <c r="C18">
        <f t="shared" si="3"/>
        <v>0.11128775834658185</v>
      </c>
      <c r="D18">
        <f t="shared" si="3"/>
        <v>0.24350649350649348</v>
      </c>
      <c r="E18">
        <f t="shared" si="3"/>
        <v>0.15789473684210528</v>
      </c>
      <c r="F18">
        <f t="shared" si="3"/>
        <v>0.18711018711018712</v>
      </c>
      <c r="G18">
        <f t="shared" si="3"/>
        <v>0.13729977116704806</v>
      </c>
      <c r="H18">
        <f t="shared" si="3"/>
        <v>0.15</v>
      </c>
      <c r="I18">
        <f t="shared" si="3"/>
        <v>0.19522776572668113</v>
      </c>
      <c r="J18">
        <f t="shared" si="4"/>
        <v>1.3024468328192171</v>
      </c>
      <c r="K18">
        <f t="shared" si="5"/>
        <v>0.16280585410240214</v>
      </c>
      <c r="L18">
        <f t="shared" si="6"/>
        <v>16.280585410240214</v>
      </c>
    </row>
    <row r="19" spans="1:12" x14ac:dyDescent="0.3">
      <c r="A19" t="s">
        <v>31</v>
      </c>
      <c r="B19">
        <f t="shared" si="2"/>
        <v>4.5045045045045036E-2</v>
      </c>
      <c r="C19">
        <f t="shared" si="3"/>
        <v>3.179650238473767E-2</v>
      </c>
      <c r="D19">
        <f t="shared" si="3"/>
        <v>9.74025974025974E-3</v>
      </c>
      <c r="E19">
        <f t="shared" si="3"/>
        <v>1.3157894736842105E-2</v>
      </c>
      <c r="F19">
        <f t="shared" si="3"/>
        <v>1.2474012474012476E-2</v>
      </c>
      <c r="G19">
        <f t="shared" si="3"/>
        <v>2.2883295194508008E-2</v>
      </c>
      <c r="H19">
        <f t="shared" si="3"/>
        <v>2.5000000000000001E-2</v>
      </c>
      <c r="I19">
        <f t="shared" si="3"/>
        <v>1.3015184381778741E-2</v>
      </c>
      <c r="J19">
        <f t="shared" si="4"/>
        <v>0.17311219395718377</v>
      </c>
      <c r="K19">
        <f t="shared" si="5"/>
        <v>2.1639024244647972E-2</v>
      </c>
      <c r="L19">
        <f t="shared" si="6"/>
        <v>2.1639024244647973</v>
      </c>
    </row>
    <row r="20" spans="1:12" x14ac:dyDescent="0.3">
      <c r="A20" t="s">
        <v>32</v>
      </c>
      <c r="B20">
        <f t="shared" si="2"/>
        <v>7.2072072072072071E-2</v>
      </c>
      <c r="C20">
        <f t="shared" si="3"/>
        <v>4.4515103338632747E-2</v>
      </c>
      <c r="D20">
        <f t="shared" si="3"/>
        <v>9.7402597402597393E-2</v>
      </c>
      <c r="E20">
        <f t="shared" si="3"/>
        <v>0.11842105263157895</v>
      </c>
      <c r="F20">
        <f t="shared" si="3"/>
        <v>0.18711018711018712</v>
      </c>
      <c r="G20">
        <f t="shared" si="3"/>
        <v>4.5766590389016017E-2</v>
      </c>
      <c r="H20">
        <f t="shared" si="3"/>
        <v>0.125</v>
      </c>
      <c r="I20">
        <f t="shared" si="3"/>
        <v>6.5075921908893705E-2</v>
      </c>
      <c r="J20">
        <f t="shared" si="4"/>
        <v>0.75536352485297797</v>
      </c>
      <c r="K20">
        <f t="shared" si="5"/>
        <v>9.4420440606622247E-2</v>
      </c>
      <c r="L20">
        <f t="shared" si="6"/>
        <v>9.4420440606622247</v>
      </c>
    </row>
    <row r="21" spans="1:12" x14ac:dyDescent="0.3">
      <c r="J21">
        <f>SUM(J13:J20)</f>
        <v>8</v>
      </c>
    </row>
    <row r="23" spans="1:12" x14ac:dyDescent="0.3">
      <c r="A23" t="s">
        <v>36</v>
      </c>
    </row>
    <row r="25" spans="1:12" x14ac:dyDescent="0.3">
      <c r="A25" t="s">
        <v>37</v>
      </c>
      <c r="B25">
        <f>$K13</f>
        <v>0.3090773956302752</v>
      </c>
      <c r="C25">
        <f>$K14</f>
        <v>0.2335112515989104</v>
      </c>
      <c r="D25">
        <f>$K15</f>
        <v>6.2486559139558764E-2</v>
      </c>
      <c r="E25">
        <f>$K16</f>
        <v>3.9011193924299928E-2</v>
      </c>
      <c r="F25">
        <f>$K17</f>
        <v>7.7048280753283363E-2</v>
      </c>
      <c r="G25">
        <f>$K18</f>
        <v>0.16280585410240214</v>
      </c>
      <c r="H25">
        <f>$K19</f>
        <v>2.1639024244647972E-2</v>
      </c>
      <c r="I25">
        <f>$K20</f>
        <v>9.4420440606622247E-2</v>
      </c>
    </row>
    <row r="26" spans="1:12" x14ac:dyDescent="0.3">
      <c r="B26" t="s">
        <v>0</v>
      </c>
      <c r="C26" t="s">
        <v>27</v>
      </c>
      <c r="D26" t="s">
        <v>28</v>
      </c>
      <c r="E26" t="s">
        <v>5</v>
      </c>
      <c r="F26" t="s">
        <v>29</v>
      </c>
      <c r="G26" t="s">
        <v>30</v>
      </c>
      <c r="H26" t="s">
        <v>31</v>
      </c>
      <c r="I26" t="s">
        <v>32</v>
      </c>
      <c r="J26" t="s">
        <v>39</v>
      </c>
      <c r="K26" t="s">
        <v>34</v>
      </c>
      <c r="L26" t="s">
        <v>40</v>
      </c>
    </row>
    <row r="27" spans="1:12" x14ac:dyDescent="0.3">
      <c r="A27" t="s">
        <v>0</v>
      </c>
      <c r="B27">
        <f>$B$25*B2</f>
        <v>0.3090773956302752</v>
      </c>
      <c r="C27">
        <f>$C$25*C2</f>
        <v>0.46702250319782079</v>
      </c>
      <c r="D27">
        <f>$D$25*D2</f>
        <v>0.31243279569779381</v>
      </c>
      <c r="E27">
        <f>$E$25*D2</f>
        <v>0.19505596962149963</v>
      </c>
      <c r="F27">
        <f>$F$25*F2</f>
        <v>0.30819312301313345</v>
      </c>
      <c r="G27">
        <f>$G$25*G2</f>
        <v>0.48841756230720645</v>
      </c>
      <c r="H27">
        <f>$H$25*H2</f>
        <v>0.17311219395718377</v>
      </c>
      <c r="I27">
        <f>$I$25*I2</f>
        <v>0.47210220303311123</v>
      </c>
      <c r="J27">
        <f>SUM(B27:I27)</f>
        <v>2.7254137464580244</v>
      </c>
      <c r="L27">
        <f>J27/K13</f>
        <v>8.8179005808571684</v>
      </c>
    </row>
    <row r="28" spans="1:12" x14ac:dyDescent="0.3">
      <c r="A28" t="s">
        <v>27</v>
      </c>
      <c r="B28">
        <f t="shared" ref="B28:B34" si="7">$B$25*B3</f>
        <v>0.1545386978151376</v>
      </c>
      <c r="C28">
        <f t="shared" ref="C28:C34" si="8">$C$25*C3</f>
        <v>0.2335112515989104</v>
      </c>
      <c r="D28">
        <f t="shared" ref="D28:D34" si="9">$D$25*D3</f>
        <v>0.31243279569779381</v>
      </c>
      <c r="E28">
        <f t="shared" ref="E28:E34" si="10">$E$25*D3</f>
        <v>0.19505596962149963</v>
      </c>
      <c r="F28">
        <f t="shared" ref="F28:F34" si="11">$F$25*F3</f>
        <v>0.30819312301313345</v>
      </c>
      <c r="G28">
        <f t="shared" ref="G28:G34" si="12">$G$25*G3</f>
        <v>0.32561170820480428</v>
      </c>
      <c r="H28">
        <f t="shared" ref="H28:H34" si="13">$H$25*H3</f>
        <v>0.1514731697125358</v>
      </c>
      <c r="I28">
        <f t="shared" ref="I28:I34" si="14">$I$25*I3</f>
        <v>0.47210220303311123</v>
      </c>
      <c r="J28">
        <f t="shared" ref="J28:J34" si="15">SUM(B28:I28)</f>
        <v>2.1529189186969262</v>
      </c>
    </row>
    <row r="29" spans="1:12" x14ac:dyDescent="0.3">
      <c r="A29" t="s">
        <v>28</v>
      </c>
      <c r="B29">
        <f t="shared" si="7"/>
        <v>6.1815479126055041E-2</v>
      </c>
      <c r="C29">
        <f t="shared" si="8"/>
        <v>4.6702250319782083E-2</v>
      </c>
      <c r="D29">
        <f t="shared" si="9"/>
        <v>6.2486559139558764E-2</v>
      </c>
      <c r="E29">
        <f t="shared" si="10"/>
        <v>3.9011193924299928E-2</v>
      </c>
      <c r="F29">
        <f t="shared" si="11"/>
        <v>3.8524140376641682E-2</v>
      </c>
      <c r="G29">
        <f t="shared" si="12"/>
        <v>3.2561170820480427E-2</v>
      </c>
      <c r="H29">
        <f t="shared" si="13"/>
        <v>0.10819512122323986</v>
      </c>
      <c r="I29">
        <f t="shared" si="14"/>
        <v>4.7210220303311123E-2</v>
      </c>
      <c r="J29">
        <f t="shared" si="15"/>
        <v>0.4365061352333689</v>
      </c>
    </row>
    <row r="30" spans="1:12" x14ac:dyDescent="0.3">
      <c r="A30" t="s">
        <v>5</v>
      </c>
      <c r="B30">
        <f t="shared" si="7"/>
        <v>5.1512899271712528E-2</v>
      </c>
      <c r="C30">
        <f t="shared" si="8"/>
        <v>4.6702250319782083E-2</v>
      </c>
      <c r="D30">
        <f t="shared" si="9"/>
        <v>2.0828853046519588E-2</v>
      </c>
      <c r="E30">
        <f t="shared" si="10"/>
        <v>1.3003731308099975E-2</v>
      </c>
      <c r="F30">
        <f t="shared" si="11"/>
        <v>2.5682760251094453E-2</v>
      </c>
      <c r="G30">
        <f t="shared" si="12"/>
        <v>4.0701463525600536E-2</v>
      </c>
      <c r="H30">
        <f t="shared" si="13"/>
        <v>6.4917072733943912E-2</v>
      </c>
      <c r="I30">
        <f t="shared" si="14"/>
        <v>3.1473480202207416E-2</v>
      </c>
      <c r="J30">
        <f t="shared" si="15"/>
        <v>0.29482251065896048</v>
      </c>
    </row>
    <row r="31" spans="1:12" x14ac:dyDescent="0.3">
      <c r="A31" t="s">
        <v>29</v>
      </c>
      <c r="B31">
        <f t="shared" si="7"/>
        <v>7.7269348907568799E-2</v>
      </c>
      <c r="C31">
        <f t="shared" si="8"/>
        <v>5.8377812899727599E-2</v>
      </c>
      <c r="D31">
        <f t="shared" si="9"/>
        <v>0.12497311827911753</v>
      </c>
      <c r="E31">
        <f t="shared" si="10"/>
        <v>7.8022387848599856E-2</v>
      </c>
      <c r="F31">
        <f t="shared" si="11"/>
        <v>7.7048280753283363E-2</v>
      </c>
      <c r="G31">
        <f t="shared" si="12"/>
        <v>5.4268618034134047E-2</v>
      </c>
      <c r="H31">
        <f t="shared" si="13"/>
        <v>0.10819512122323986</v>
      </c>
      <c r="I31">
        <f t="shared" si="14"/>
        <v>3.1473480202207416E-2</v>
      </c>
      <c r="J31">
        <f t="shared" si="15"/>
        <v>0.60962816814787835</v>
      </c>
    </row>
    <row r="32" spans="1:12" x14ac:dyDescent="0.3">
      <c r="A32" t="s">
        <v>30</v>
      </c>
      <c r="B32">
        <f t="shared" si="7"/>
        <v>0.10302579854342506</v>
      </c>
      <c r="C32">
        <f t="shared" si="8"/>
        <v>0.1167556257994552</v>
      </c>
      <c r="D32">
        <f t="shared" si="9"/>
        <v>0.31243279569779381</v>
      </c>
      <c r="E32">
        <f t="shared" si="10"/>
        <v>0.19505596962149963</v>
      </c>
      <c r="F32">
        <f t="shared" si="11"/>
        <v>0.2311448422598501</v>
      </c>
      <c r="G32">
        <f t="shared" si="12"/>
        <v>0.16280585410240214</v>
      </c>
      <c r="H32">
        <f t="shared" si="13"/>
        <v>0.12983414546788782</v>
      </c>
      <c r="I32">
        <f t="shared" si="14"/>
        <v>0.28326132181986674</v>
      </c>
      <c r="J32">
        <f t="shared" si="15"/>
        <v>1.5343163533121804</v>
      </c>
    </row>
    <row r="33" spans="1:10" x14ac:dyDescent="0.3">
      <c r="A33" t="s">
        <v>31</v>
      </c>
      <c r="B33">
        <f t="shared" si="7"/>
        <v>3.86346744537844E-2</v>
      </c>
      <c r="C33">
        <f t="shared" si="8"/>
        <v>3.3358750228415772E-2</v>
      </c>
      <c r="D33">
        <f t="shared" si="9"/>
        <v>1.2497311827911754E-2</v>
      </c>
      <c r="E33">
        <f t="shared" si="10"/>
        <v>7.8022387848599856E-3</v>
      </c>
      <c r="F33">
        <f t="shared" si="11"/>
        <v>1.5409656150656674E-2</v>
      </c>
      <c r="G33">
        <f t="shared" si="12"/>
        <v>2.7134309017067024E-2</v>
      </c>
      <c r="H33">
        <f t="shared" si="13"/>
        <v>2.1639024244647972E-2</v>
      </c>
      <c r="I33">
        <f t="shared" si="14"/>
        <v>1.8884088121324451E-2</v>
      </c>
      <c r="J33">
        <f t="shared" si="15"/>
        <v>0.17536005282866804</v>
      </c>
    </row>
    <row r="34" spans="1:10" x14ac:dyDescent="0.3">
      <c r="A34" t="s">
        <v>32</v>
      </c>
      <c r="B34">
        <f t="shared" si="7"/>
        <v>6.1815479126055041E-2</v>
      </c>
      <c r="C34">
        <f t="shared" si="8"/>
        <v>4.6702250319782083E-2</v>
      </c>
      <c r="D34">
        <f t="shared" si="9"/>
        <v>0.12497311827911753</v>
      </c>
      <c r="E34">
        <f t="shared" si="10"/>
        <v>7.8022387848599856E-2</v>
      </c>
      <c r="F34">
        <f t="shared" si="11"/>
        <v>0.2311448422598501</v>
      </c>
      <c r="G34">
        <f t="shared" si="12"/>
        <v>5.4268618034134047E-2</v>
      </c>
      <c r="H34">
        <f t="shared" si="13"/>
        <v>0.10819512122323986</v>
      </c>
      <c r="I34">
        <f t="shared" si="14"/>
        <v>9.4420440606622247E-2</v>
      </c>
      <c r="J34">
        <f t="shared" si="15"/>
        <v>0.79954225769740073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MCDM</vt:lpstr>
      <vt:lpstr>MCDM (2)</vt:lpstr>
      <vt:lpstr>Supporting Link</vt:lpstr>
      <vt:lpstr>Another_Example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Bama Kole</dc:creator>
  <cp:lastModifiedBy>Bama Kole</cp:lastModifiedBy>
  <dcterms:created xsi:type="dcterms:W3CDTF">2026-02-01T19:00:41Z</dcterms:created>
  <dcterms:modified xsi:type="dcterms:W3CDTF">2026-02-05T04:18:11Z</dcterms:modified>
</cp:coreProperties>
</file>